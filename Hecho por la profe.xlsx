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a\Downloads\"/>
    </mc:Choice>
  </mc:AlternateContent>
  <xr:revisionPtr revIDLastSave="0" documentId="13_ncr:1_{CC28634E-B68C-42DA-AA43-823D990C8604}" xr6:coauthVersionLast="47" xr6:coauthVersionMax="47" xr10:uidLastSave="{00000000-0000-0000-0000-000000000000}"/>
  <bookViews>
    <workbookView xWindow="-110" yWindow="-110" windowWidth="19420" windowHeight="10300" activeTab="3" xr2:uid="{9E526636-F1BD-6549-91A9-39CC539A0B74}"/>
  </bookViews>
  <sheets>
    <sheet name="PRECIOS" sheetId="1" r:id="rId1"/>
    <sheet name="RETORNOS" sheetId="2" r:id="rId2"/>
    <sheet name="ESCENARIOS" sheetId="4" r:id="rId3"/>
    <sheet name="RETORNOS ANUALES L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H21" i="5"/>
  <c r="C20" i="5"/>
  <c r="C18" i="5"/>
  <c r="C108" i="2"/>
  <c r="B108" i="2" s="1"/>
  <c r="D4" i="2"/>
  <c r="C4" i="2"/>
  <c r="H14" i="5"/>
  <c r="H15" i="5" s="1"/>
  <c r="H13" i="5"/>
  <c r="H11" i="5"/>
  <c r="H10" i="5"/>
  <c r="H9" i="5"/>
  <c r="H8" i="5"/>
  <c r="H7" i="5"/>
  <c r="H6" i="5"/>
  <c r="H5" i="5"/>
  <c r="H4" i="5"/>
  <c r="C11" i="5"/>
  <c r="C10" i="5"/>
  <c r="C9" i="5"/>
  <c r="C8" i="5"/>
  <c r="C7" i="5"/>
  <c r="C6" i="5"/>
  <c r="C5" i="5"/>
  <c r="C4" i="5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08" i="2"/>
  <c r="G108" i="2" s="1"/>
  <c r="C109" i="2"/>
  <c r="C110" i="2"/>
  <c r="B110" i="2" s="1"/>
  <c r="C111" i="2"/>
  <c r="B111" i="2" s="1"/>
  <c r="C112" i="2"/>
  <c r="B112" i="2" s="1"/>
  <c r="C113" i="2"/>
  <c r="B113" i="2" s="1"/>
  <c r="C114" i="2"/>
  <c r="B114" i="2" s="1"/>
  <c r="C115" i="2"/>
  <c r="B115" i="2" s="1"/>
  <c r="C116" i="2"/>
  <c r="B116" i="2" s="1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4" i="2"/>
  <c r="I102" i="2"/>
  <c r="I103" i="2" s="1"/>
  <c r="I101" i="2"/>
  <c r="D102" i="2"/>
  <c r="D103" i="2" s="1"/>
  <c r="D101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B119" i="2" l="1"/>
  <c r="B128" i="2" s="1"/>
  <c r="B137" i="2" s="1"/>
  <c r="B120" i="2"/>
  <c r="B129" i="2" s="1"/>
  <c r="B138" i="2" s="1"/>
  <c r="B121" i="2"/>
  <c r="B130" i="2" s="1"/>
  <c r="B139" i="2" s="1"/>
  <c r="B122" i="2"/>
  <c r="B131" i="2" s="1"/>
  <c r="B140" i="2" s="1"/>
  <c r="B123" i="2"/>
  <c r="B132" i="2" s="1"/>
  <c r="B141" i="2" s="1"/>
  <c r="B124" i="2"/>
  <c r="B133" i="2" s="1"/>
  <c r="B142" i="2" s="1"/>
  <c r="B125" i="2"/>
  <c r="B134" i="2" s="1"/>
  <c r="B143" i="2" s="1"/>
  <c r="B117" i="2"/>
  <c r="B126" i="2" s="1"/>
  <c r="B135" i="2" s="1"/>
  <c r="B109" i="2"/>
  <c r="B118" i="2" s="1"/>
  <c r="B127" i="2" s="1"/>
  <c r="B136" i="2" s="1"/>
  <c r="C13" i="5"/>
  <c r="C14" i="5"/>
  <c r="C15" i="5" s="1"/>
  <c r="H20" i="5"/>
  <c r="G109" i="2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H102" i="2"/>
  <c r="H103" i="2" s="1"/>
  <c r="H101" i="2"/>
  <c r="C101" i="2"/>
  <c r="C102" i="2"/>
  <c r="C103" i="2" s="1"/>
  <c r="C21" i="5" l="1"/>
</calcChain>
</file>

<file path=xl/sharedStrings.xml><?xml version="1.0" encoding="utf-8"?>
<sst xmlns="http://schemas.openxmlformats.org/spreadsheetml/2006/main" count="46" uniqueCount="21">
  <si>
    <t>Date</t>
  </si>
  <si>
    <t>CMIG4.SA</t>
  </si>
  <si>
    <t>OIBR4.SA</t>
  </si>
  <si>
    <t>RETORNO SIMPLE</t>
  </si>
  <si>
    <t>RETORNO PROMEDIO MENSUAL</t>
  </si>
  <si>
    <t>VARIANZA</t>
  </si>
  <si>
    <t>DESVIACION ESTANDAR</t>
  </si>
  <si>
    <t>RETORNO LN</t>
  </si>
  <si>
    <t>PASEO ALEATORIO 36 MESES SIGUIENTES</t>
  </si>
  <si>
    <t>ESCENARIO 1</t>
  </si>
  <si>
    <t>ESCENARIO 2</t>
  </si>
  <si>
    <t>ESCENARIO 3</t>
  </si>
  <si>
    <t>ESCENARIO 4</t>
  </si>
  <si>
    <t>ESCENARIO 5</t>
  </si>
  <si>
    <t>PERIODO</t>
  </si>
  <si>
    <t>RETORNO ANUAL LN</t>
  </si>
  <si>
    <t>E (R) ANUAL</t>
  </si>
  <si>
    <t>VAR (R) ANUAL</t>
  </si>
  <si>
    <t>SD (R) ANUAL</t>
  </si>
  <si>
    <t>ERROR ESTANDAR</t>
  </si>
  <si>
    <t>INTERVALO DE CONFIANZA AL 95% (Z= 1,96)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</si>
</sst>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00%"/>
    <numFmt numFmtId="166" formatCode="&quot;$&quot;#,##0.000"/>
    <numFmt numFmtId="167" formatCode="0.0000"/>
  </numFmts>
  <fonts count="7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5">
    <xf numFmtId="0" fontId="0" fillId="0" borderId="0" xfId="0"/>
    <xf numFmtId="164" fontId="0" fillId="0" borderId="1" xfId="0" applyNumberFormat="1" applyBorder="1"/>
    <xf numFmtId="166" fontId="0" fillId="0" borderId="0" xfId="0" applyNumberFormat="1"/>
    <xf numFmtId="0" fontId="0" fillId="0" borderId="1" xfId="0" applyBorder="1"/>
    <xf numFmtId="165" fontId="0" fillId="0" borderId="1" xfId="1" applyNumberFormat="1" applyFont="1" applyBorder="1"/>
    <xf numFmtId="0" fontId="0" fillId="0" borderId="1" xfId="1" applyNumberFormat="1" applyFont="1" applyBorder="1"/>
    <xf numFmtId="165" fontId="0" fillId="0" borderId="3" xfId="0" applyNumberFormat="1" applyBorder="1"/>
    <xf numFmtId="14" fontId="0" fillId="0" borderId="7" xfId="0" applyNumberFormat="1" applyBorder="1"/>
    <xf numFmtId="14" fontId="0" fillId="0" borderId="9" xfId="0" applyNumberFormat="1" applyBorder="1"/>
    <xf numFmtId="164" fontId="0" fillId="0" borderId="10" xfId="0" applyNumberFormat="1" applyBorder="1"/>
    <xf numFmtId="0" fontId="0" fillId="0" borderId="10" xfId="0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8" xfId="1" applyNumberFormat="1" applyFont="1" applyBorder="1"/>
    <xf numFmtId="0" fontId="0" fillId="0" borderId="10" xfId="1" applyNumberFormat="1" applyFont="1" applyBorder="1"/>
    <xf numFmtId="165" fontId="0" fillId="0" borderId="11" xfId="1" applyNumberFormat="1" applyFont="1" applyBorder="1"/>
    <xf numFmtId="165" fontId="0" fillId="0" borderId="10" xfId="1" applyNumberFormat="1" applyFont="1" applyBorder="1"/>
    <xf numFmtId="0" fontId="0" fillId="0" borderId="20" xfId="0" applyBorder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5" fontId="0" fillId="0" borderId="20" xfId="1" applyNumberFormat="1" applyFont="1" applyBorder="1"/>
    <xf numFmtId="0" fontId="3" fillId="0" borderId="3" xfId="0" applyFont="1" applyBorder="1"/>
    <xf numFmtId="167" fontId="0" fillId="0" borderId="3" xfId="0" applyNumberFormat="1" applyBorder="1"/>
    <xf numFmtId="165" fontId="0" fillId="0" borderId="3" xfId="1" applyNumberFormat="1" applyFont="1" applyBorder="1"/>
    <xf numFmtId="0" fontId="5" fillId="0" borderId="3" xfId="0" applyFont="1" applyBorder="1"/>
    <xf numFmtId="0" fontId="5" fillId="0" borderId="4" xfId="0" applyFont="1" applyBorder="1"/>
    <xf numFmtId="0" fontId="0" fillId="0" borderId="3" xfId="0" applyBorder="1"/>
    <xf numFmtId="0" fontId="0" fillId="0" borderId="22" xfId="0" applyBorder="1" applyAlignment="1">
      <alignment horizontal="center"/>
    </xf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25" xfId="1" applyNumberFormat="1" applyFont="1" applyBorder="1"/>
    <xf numFmtId="14" fontId="0" fillId="0" borderId="19" xfId="0" applyNumberFormat="1" applyBorder="1"/>
    <xf numFmtId="165" fontId="0" fillId="0" borderId="26" xfId="1" applyNumberFormat="1" applyFont="1" applyBorder="1"/>
    <xf numFmtId="0" fontId="4" fillId="0" borderId="3" xfId="0" applyFont="1" applyBorder="1"/>
    <xf numFmtId="0" fontId="4" fillId="0" borderId="16" xfId="0" applyFont="1" applyBorder="1"/>
    <xf numFmtId="165" fontId="0" fillId="0" borderId="27" xfId="1" applyNumberFormat="1" applyFont="1" applyBorder="1"/>
    <xf numFmtId="165" fontId="0" fillId="0" borderId="2" xfId="1" applyNumberFormat="1" applyFont="1" applyBorder="1"/>
    <xf numFmtId="165" fontId="0" fillId="0" borderId="14" xfId="1" applyNumberFormat="1" applyFont="1" applyBorder="1"/>
    <xf numFmtId="0" fontId="4" fillId="3" borderId="3" xfId="0" applyFont="1" applyFill="1" applyBorder="1"/>
    <xf numFmtId="14" fontId="0" fillId="0" borderId="28" xfId="0" applyNumberFormat="1" applyBorder="1"/>
    <xf numFmtId="14" fontId="0" fillId="0" borderId="24" xfId="0" applyNumberFormat="1" applyBorder="1"/>
    <xf numFmtId="14" fontId="0" fillId="0" borderId="25" xfId="0" applyNumberFormat="1" applyBorder="1"/>
    <xf numFmtId="0" fontId="4" fillId="2" borderId="3" xfId="0" applyFont="1" applyFill="1" applyBorder="1"/>
    <xf numFmtId="164" fontId="0" fillId="0" borderId="26" xfId="0" applyNumberFormat="1" applyBorder="1"/>
    <xf numFmtId="0" fontId="0" fillId="0" borderId="26" xfId="0" applyBorder="1"/>
    <xf numFmtId="164" fontId="0" fillId="0" borderId="27" xfId="0" applyNumberFormat="1" applyBorder="1"/>
    <xf numFmtId="164" fontId="0" fillId="0" borderId="2" xfId="0" applyNumberFormat="1" applyBorder="1"/>
    <xf numFmtId="164" fontId="0" fillId="0" borderId="14" xfId="0" applyNumberFormat="1" applyBorder="1"/>
    <xf numFmtId="10" fontId="0" fillId="0" borderId="3" xfId="1" applyNumberFormat="1" applyFont="1" applyBorder="1"/>
    <xf numFmtId="14" fontId="0" fillId="0" borderId="23" xfId="0" applyNumberFormat="1" applyBorder="1"/>
    <xf numFmtId="165" fontId="0" fillId="0" borderId="29" xfId="1" applyNumberFormat="1" applyFont="1" applyBorder="1"/>
    <xf numFmtId="165" fontId="0" fillId="0" borderId="31" xfId="1" applyNumberFormat="1" applyFont="1" applyBorder="1"/>
    <xf numFmtId="165" fontId="0" fillId="0" borderId="30" xfId="1" applyNumberFormat="1" applyFont="1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14" fontId="0" fillId="0" borderId="15" xfId="0" applyNumberFormat="1" applyBorder="1"/>
    <xf numFmtId="14" fontId="0" fillId="0" borderId="12" xfId="0" applyNumberFormat="1" applyBorder="1"/>
    <xf numFmtId="14" fontId="0" fillId="0" borderId="13" xfId="0" applyNumberFormat="1" applyBorder="1"/>
    <xf numFmtId="164" fontId="0" fillId="0" borderId="8" xfId="0" applyNumberFormat="1" applyBorder="1"/>
    <xf numFmtId="164" fontId="0" fillId="0" borderId="11" xfId="0" applyNumberFormat="1" applyBorder="1"/>
    <xf numFmtId="164" fontId="0" fillId="0" borderId="20" xfId="0" applyNumberFormat="1" applyBorder="1"/>
    <xf numFmtId="0" fontId="1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ESCENARIOS!$C$2</c:f>
              <c:strCache>
                <c:ptCount val="1"/>
                <c:pt idx="0">
                  <c:v>ESCENARIO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ESCENARIOS!$B$3:$B$38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ESCENARIOS!$C$3:$C$38</c:f>
              <c:numCache>
                <c:formatCode>0.000%</c:formatCode>
                <c:ptCount val="36"/>
                <c:pt idx="0">
                  <c:v>0.18268440002882849</c:v>
                </c:pt>
                <c:pt idx="1">
                  <c:v>2.0368678674439436E-2</c:v>
                </c:pt>
                <c:pt idx="2">
                  <c:v>-1.8177519409637896E-2</c:v>
                </c:pt>
                <c:pt idx="3">
                  <c:v>-4.8940912124654269E-2</c:v>
                </c:pt>
                <c:pt idx="4">
                  <c:v>9.623207556158303E-2</c:v>
                </c:pt>
                <c:pt idx="5">
                  <c:v>0.1929539048842154</c:v>
                </c:pt>
                <c:pt idx="6">
                  <c:v>-0.18487762823044321</c:v>
                </c:pt>
                <c:pt idx="7">
                  <c:v>8.0382739765790759E-2</c:v>
                </c:pt>
                <c:pt idx="8">
                  <c:v>2.868609230516013E-2</c:v>
                </c:pt>
                <c:pt idx="9">
                  <c:v>-2.1668608455930369E-2</c:v>
                </c:pt>
                <c:pt idx="10">
                  <c:v>-0.12781162327430212</c:v>
                </c:pt>
                <c:pt idx="11">
                  <c:v>-2.3833600566850507E-2</c:v>
                </c:pt>
                <c:pt idx="12">
                  <c:v>0.2578825351929292</c:v>
                </c:pt>
                <c:pt idx="13">
                  <c:v>-0.10228093738534952</c:v>
                </c:pt>
                <c:pt idx="14">
                  <c:v>1.083040483079385E-2</c:v>
                </c:pt>
                <c:pt idx="15">
                  <c:v>9.9753743097418923E-3</c:v>
                </c:pt>
                <c:pt idx="16">
                  <c:v>-2.8539838199340736E-2</c:v>
                </c:pt>
                <c:pt idx="17">
                  <c:v>9.9674187408690329E-2</c:v>
                </c:pt>
                <c:pt idx="18">
                  <c:v>-0.21343176372740416</c:v>
                </c:pt>
                <c:pt idx="19">
                  <c:v>0.11401493979517835</c:v>
                </c:pt>
                <c:pt idx="20">
                  <c:v>0.14210729027125052</c:v>
                </c:pt>
                <c:pt idx="21">
                  <c:v>0.15126531256553716</c:v>
                </c:pt>
                <c:pt idx="22">
                  <c:v>3.4641605493542733E-2</c:v>
                </c:pt>
                <c:pt idx="23">
                  <c:v>-0.18005415945937855</c:v>
                </c:pt>
                <c:pt idx="24">
                  <c:v>-4.1340022066852534E-2</c:v>
                </c:pt>
                <c:pt idx="25">
                  <c:v>-0.30771701308824123</c:v>
                </c:pt>
                <c:pt idx="26">
                  <c:v>0.30833447639904915</c:v>
                </c:pt>
                <c:pt idx="27">
                  <c:v>9.8828866653074499E-2</c:v>
                </c:pt>
                <c:pt idx="28">
                  <c:v>6.9047159781784273E-2</c:v>
                </c:pt>
                <c:pt idx="29">
                  <c:v>-0.12920925833443181</c:v>
                </c:pt>
                <c:pt idx="30">
                  <c:v>9.2935039033344949E-2</c:v>
                </c:pt>
                <c:pt idx="31">
                  <c:v>0.20360837338101115</c:v>
                </c:pt>
                <c:pt idx="32">
                  <c:v>-0.16161931303488089</c:v>
                </c:pt>
                <c:pt idx="33">
                  <c:v>0.14997220027451402</c:v>
                </c:pt>
                <c:pt idx="34">
                  <c:v>-3.3426134864403857E-2</c:v>
                </c:pt>
                <c:pt idx="35">
                  <c:v>-0.17223494246993212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03-48C9-9706-BF7EF343EA37}"/>
            </c:ext>
          </c:extLst>
        </c:ser>
        <c:ser>
          <c:idx val="1"/>
          <c:order val="1"/>
          <c:tx>
            <c:strRef>
              <c:f>ESCENARIOS!$D$2</c:f>
              <c:strCache>
                <c:ptCount val="1"/>
                <c:pt idx="0">
                  <c:v>ESCENARIO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ESCENARIOS!$B$3:$B$38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ESCENARIOS!$D$3:$D$38</c:f>
              <c:numCache>
                <c:formatCode>0.000%</c:formatCode>
                <c:ptCount val="36"/>
                <c:pt idx="0">
                  <c:v>0.10514935278932097</c:v>
                </c:pt>
                <c:pt idx="1">
                  <c:v>0.10935853610588236</c:v>
                </c:pt>
                <c:pt idx="2">
                  <c:v>-7.1247955888812414E-2</c:v>
                </c:pt>
                <c:pt idx="3">
                  <c:v>-2.2268022394389825E-3</c:v>
                </c:pt>
                <c:pt idx="4">
                  <c:v>0.11401493979517835</c:v>
                </c:pt>
                <c:pt idx="5">
                  <c:v>-9.6832902231672763E-2</c:v>
                </c:pt>
                <c:pt idx="6">
                  <c:v>-9.9055296191200598E-2</c:v>
                </c:pt>
                <c:pt idx="7">
                  <c:v>-0.10341697994137647</c:v>
                </c:pt>
                <c:pt idx="8">
                  <c:v>4.3250597668683624E-2</c:v>
                </c:pt>
                <c:pt idx="9">
                  <c:v>0.26719477140884845</c:v>
                </c:pt>
                <c:pt idx="10">
                  <c:v>2.1409194273455071E-2</c:v>
                </c:pt>
                <c:pt idx="11">
                  <c:v>-0.15604076721048912</c:v>
                </c:pt>
                <c:pt idx="12">
                  <c:v>-0.10640330397565848</c:v>
                </c:pt>
                <c:pt idx="13">
                  <c:v>-3.8954418373596846E-2</c:v>
                </c:pt>
                <c:pt idx="14">
                  <c:v>-5.521541966574732E-2</c:v>
                </c:pt>
                <c:pt idx="15">
                  <c:v>8.0338046286650935E-2</c:v>
                </c:pt>
                <c:pt idx="16">
                  <c:v>0.17198166828618849</c:v>
                </c:pt>
                <c:pt idx="17">
                  <c:v>0.12662678277136291</c:v>
                </c:pt>
                <c:pt idx="18">
                  <c:v>2.7726681805669798E-2</c:v>
                </c:pt>
                <c:pt idx="19">
                  <c:v>0.26936176258912309</c:v>
                </c:pt>
                <c:pt idx="20">
                  <c:v>-0.141506961840624</c:v>
                </c:pt>
                <c:pt idx="21">
                  <c:v>-6.8495522969006559E-2</c:v>
                </c:pt>
                <c:pt idx="22">
                  <c:v>-6.3033494329848325E-2</c:v>
                </c:pt>
                <c:pt idx="23">
                  <c:v>-6.9345698607340453E-2</c:v>
                </c:pt>
                <c:pt idx="24">
                  <c:v>-1.0099565729452293E-2</c:v>
                </c:pt>
                <c:pt idx="25">
                  <c:v>1.6587010618404022E-2</c:v>
                </c:pt>
                <c:pt idx="26">
                  <c:v>4.8144605029828383E-2</c:v>
                </c:pt>
                <c:pt idx="27">
                  <c:v>1.4414900260628204E-3</c:v>
                </c:pt>
                <c:pt idx="28">
                  <c:v>-0.1121483437191462</c:v>
                </c:pt>
                <c:pt idx="29">
                  <c:v>-8.7352008950081651E-3</c:v>
                </c:pt>
                <c:pt idx="30">
                  <c:v>0.3245052339889109</c:v>
                </c:pt>
                <c:pt idx="31">
                  <c:v>-3.1331395762227467E-2</c:v>
                </c:pt>
                <c:pt idx="32">
                  <c:v>2.2324910828482824E-2</c:v>
                </c:pt>
                <c:pt idx="33">
                  <c:v>-2.404364563974086E-2</c:v>
                </c:pt>
                <c:pt idx="34">
                  <c:v>-0.1023826043410925</c:v>
                </c:pt>
                <c:pt idx="35">
                  <c:v>-4.0699891501408993E-2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03-48C9-9706-BF7EF343EA37}"/>
            </c:ext>
          </c:extLst>
        </c:ser>
        <c:ser>
          <c:idx val="2"/>
          <c:order val="2"/>
          <c:tx>
            <c:strRef>
              <c:f>ESCENARIOS!$E$2</c:f>
              <c:strCache>
                <c:ptCount val="1"/>
                <c:pt idx="0">
                  <c:v>ESCENARIO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ESCENARIOS!$B$3:$B$38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ESCENARIOS!$E$3:$E$38</c:f>
              <c:numCache>
                <c:formatCode>0.000%</c:formatCode>
                <c:ptCount val="36"/>
                <c:pt idx="0">
                  <c:v>-6.1009986484539692E-3</c:v>
                </c:pt>
                <c:pt idx="1">
                  <c:v>-5.1261688854556994E-2</c:v>
                </c:pt>
                <c:pt idx="2">
                  <c:v>-0.17040151029052211</c:v>
                </c:pt>
                <c:pt idx="3">
                  <c:v>-9.4170263355597816E-3</c:v>
                </c:pt>
                <c:pt idx="4">
                  <c:v>0.12575347504478412</c:v>
                </c:pt>
                <c:pt idx="5">
                  <c:v>-0.16214364036843179</c:v>
                </c:pt>
                <c:pt idx="6">
                  <c:v>0.16101791520211844</c:v>
                </c:pt>
                <c:pt idx="7">
                  <c:v>0.13419640167283359</c:v>
                </c:pt>
                <c:pt idx="8">
                  <c:v>0.18847027790341522</c:v>
                </c:pt>
                <c:pt idx="9">
                  <c:v>-0.31021642094403507</c:v>
                </c:pt>
                <c:pt idx="10">
                  <c:v>0.14607601410259957</c:v>
                </c:pt>
                <c:pt idx="11">
                  <c:v>0.11967573304444085</c:v>
                </c:pt>
                <c:pt idx="12">
                  <c:v>1.8414588380418716E-2</c:v>
                </c:pt>
                <c:pt idx="13">
                  <c:v>-0.12964277080302128</c:v>
                </c:pt>
                <c:pt idx="14">
                  <c:v>3.975208350764587E-2</c:v>
                </c:pt>
                <c:pt idx="15">
                  <c:v>1.0724739736341872E-2</c:v>
                </c:pt>
                <c:pt idx="16">
                  <c:v>3.3323933207592922E-2</c:v>
                </c:pt>
                <c:pt idx="17">
                  <c:v>1.4798985871474725E-2</c:v>
                </c:pt>
                <c:pt idx="18">
                  <c:v>-8.4290312729554701E-2</c:v>
                </c:pt>
                <c:pt idx="19">
                  <c:v>0.12190355304935946</c:v>
                </c:pt>
                <c:pt idx="20">
                  <c:v>6.3670519962196692E-2</c:v>
                </c:pt>
                <c:pt idx="21">
                  <c:v>0.13545467304082121</c:v>
                </c:pt>
                <c:pt idx="22">
                  <c:v>0.23808832160737362</c:v>
                </c:pt>
                <c:pt idx="23">
                  <c:v>-0.14845172877814622</c:v>
                </c:pt>
                <c:pt idx="24">
                  <c:v>-0.10614942216763737</c:v>
                </c:pt>
                <c:pt idx="25">
                  <c:v>-0.1929978479484096</c:v>
                </c:pt>
                <c:pt idx="26">
                  <c:v>8.937428942753468E-3</c:v>
                </c:pt>
                <c:pt idx="27">
                  <c:v>-5.106563726714812E-2</c:v>
                </c:pt>
                <c:pt idx="28">
                  <c:v>-9.6248031654814242E-2</c:v>
                </c:pt>
                <c:pt idx="29">
                  <c:v>0.18883353736326094</c:v>
                </c:pt>
                <c:pt idx="30">
                  <c:v>7.4400381931790618E-2</c:v>
                </c:pt>
                <c:pt idx="31">
                  <c:v>0.10137682333604897</c:v>
                </c:pt>
                <c:pt idx="32">
                  <c:v>0.18331781943286765</c:v>
                </c:pt>
                <c:pt idx="33">
                  <c:v>-0.11733135939268395</c:v>
                </c:pt>
                <c:pt idx="34">
                  <c:v>5.3033614717586892E-2</c:v>
                </c:pt>
                <c:pt idx="35">
                  <c:v>1.2968430791981539E-3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03-48C9-9706-BF7EF343EA37}"/>
            </c:ext>
          </c:extLst>
        </c:ser>
        <c:ser>
          <c:idx val="3"/>
          <c:order val="3"/>
          <c:tx>
            <c:strRef>
              <c:f>ESCENARIOS!$F$2</c:f>
              <c:strCache>
                <c:ptCount val="1"/>
                <c:pt idx="0">
                  <c:v>ESCENARIO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ESCENARIOS!$B$3:$B$38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ESCENARIOS!$F$3:$F$38</c:f>
              <c:numCache>
                <c:formatCode>0.000%</c:formatCode>
                <c:ptCount val="36"/>
                <c:pt idx="0">
                  <c:v>-4.8143283452210008E-2</c:v>
                </c:pt>
                <c:pt idx="1">
                  <c:v>-0.10226637273719533</c:v>
                </c:pt>
                <c:pt idx="2">
                  <c:v>-5.2255083533073773E-2</c:v>
                </c:pt>
                <c:pt idx="3">
                  <c:v>4.2893763788905921E-2</c:v>
                </c:pt>
                <c:pt idx="4">
                  <c:v>0.12063842772929928</c:v>
                </c:pt>
                <c:pt idx="5">
                  <c:v>-4.3014956604584577E-2</c:v>
                </c:pt>
                <c:pt idx="6">
                  <c:v>-0.10958068192396311</c:v>
                </c:pt>
                <c:pt idx="7">
                  <c:v>0.12741784307307097</c:v>
                </c:pt>
                <c:pt idx="8">
                  <c:v>-2.4333939068147445E-2</c:v>
                </c:pt>
                <c:pt idx="9">
                  <c:v>-0.11940096733726095</c:v>
                </c:pt>
                <c:pt idx="10">
                  <c:v>-0.11893803999102674</c:v>
                </c:pt>
                <c:pt idx="11">
                  <c:v>-0.14262472719112412</c:v>
                </c:pt>
                <c:pt idx="12">
                  <c:v>-0.15048706696236042</c:v>
                </c:pt>
                <c:pt idx="13">
                  <c:v>0.20840842448249455</c:v>
                </c:pt>
                <c:pt idx="14">
                  <c:v>-0.18599710706896147</c:v>
                </c:pt>
                <c:pt idx="15">
                  <c:v>-2.9877215597499153E-2</c:v>
                </c:pt>
                <c:pt idx="16">
                  <c:v>-5.2616343923564998E-2</c:v>
                </c:pt>
                <c:pt idx="17">
                  <c:v>-0.14701068535489031</c:v>
                </c:pt>
                <c:pt idx="18">
                  <c:v>0.20821251568575386</c:v>
                </c:pt>
                <c:pt idx="19">
                  <c:v>-0.11247704783729276</c:v>
                </c:pt>
                <c:pt idx="20">
                  <c:v>0.16580026026074773</c:v>
                </c:pt>
                <c:pt idx="21">
                  <c:v>-5.5836273490986785E-2</c:v>
                </c:pt>
                <c:pt idx="22">
                  <c:v>-8.7211381428479201E-2</c:v>
                </c:pt>
                <c:pt idx="23">
                  <c:v>6.8099743698420923E-2</c:v>
                </c:pt>
                <c:pt idx="24">
                  <c:v>1.4904650965926703E-2</c:v>
                </c:pt>
                <c:pt idx="25">
                  <c:v>0.10374857633449136</c:v>
                </c:pt>
                <c:pt idx="26">
                  <c:v>-0.20415037029581143</c:v>
                </c:pt>
                <c:pt idx="27">
                  <c:v>7.726421285932884E-3</c:v>
                </c:pt>
                <c:pt idx="28">
                  <c:v>-1.4591474569006819E-2</c:v>
                </c:pt>
                <c:pt idx="29">
                  <c:v>8.546080429821741E-2</c:v>
                </c:pt>
                <c:pt idx="30">
                  <c:v>9.3528191468957814E-2</c:v>
                </c:pt>
                <c:pt idx="31">
                  <c:v>-6.6654665674851274E-2</c:v>
                </c:pt>
                <c:pt idx="32">
                  <c:v>0.17313798711709677</c:v>
                </c:pt>
                <c:pt idx="33">
                  <c:v>-0.14020099838946481</c:v>
                </c:pt>
                <c:pt idx="34">
                  <c:v>1.707749656359665E-2</c:v>
                </c:pt>
                <c:pt idx="35">
                  <c:v>-0.22096311472980304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03-48C9-9706-BF7EF343EA37}"/>
            </c:ext>
          </c:extLst>
        </c:ser>
        <c:ser>
          <c:idx val="4"/>
          <c:order val="4"/>
          <c:tx>
            <c:strRef>
              <c:f>ESCENARIOS!$G$2</c:f>
              <c:strCache>
                <c:ptCount val="1"/>
                <c:pt idx="0">
                  <c:v>ESCENARIO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ESCENARIOS!$B$3:$B$38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ESCENARIOS!$G$3:$G$38</c:f>
              <c:numCache>
                <c:formatCode>0.000%</c:formatCode>
                <c:ptCount val="36"/>
                <c:pt idx="0">
                  <c:v>5.5925411329534831E-2</c:v>
                </c:pt>
                <c:pt idx="1">
                  <c:v>9.2426418673293667E-2</c:v>
                </c:pt>
                <c:pt idx="2">
                  <c:v>7.5830144892260434E-2</c:v>
                </c:pt>
                <c:pt idx="3">
                  <c:v>-1.6352083507645873E-2</c:v>
                </c:pt>
                <c:pt idx="4">
                  <c:v>2.9074054550600706E-2</c:v>
                </c:pt>
                <c:pt idx="5">
                  <c:v>-4.0741871957853427E-2</c:v>
                </c:pt>
                <c:pt idx="6">
                  <c:v>0.14779150119009427</c:v>
                </c:pt>
                <c:pt idx="7">
                  <c:v>-0.3670768073379993</c:v>
                </c:pt>
                <c:pt idx="8">
                  <c:v>0.11270840518134645</c:v>
                </c:pt>
                <c:pt idx="9">
                  <c:v>0.16661930753341875</c:v>
                </c:pt>
                <c:pt idx="10">
                  <c:v>2.183573128585704E-3</c:v>
                </c:pt>
                <c:pt idx="11">
                  <c:v>5.193983819934074E-2</c:v>
                </c:pt>
                <c:pt idx="12">
                  <c:v>6.1532229706225912E-2</c:v>
                </c:pt>
                <c:pt idx="13">
                  <c:v>2.4689381502848117E-2</c:v>
                </c:pt>
                <c:pt idx="14">
                  <c:v>0.15523603546624071</c:v>
                </c:pt>
                <c:pt idx="15">
                  <c:v>0.2132358913922682</c:v>
                </c:pt>
                <c:pt idx="16">
                  <c:v>0.20939710706896145</c:v>
                </c:pt>
                <c:pt idx="17">
                  <c:v>0.2442557361473329</c:v>
                </c:pt>
                <c:pt idx="18">
                  <c:v>0.22429931236272674</c:v>
                </c:pt>
                <c:pt idx="19">
                  <c:v>-0.23435231010355054</c:v>
                </c:pt>
                <c:pt idx="20">
                  <c:v>-3.4261010614689419E-3</c:v>
                </c:pt>
                <c:pt idx="21">
                  <c:v>-1.1928550111595521E-3</c:v>
                </c:pt>
                <c:pt idx="22">
                  <c:v>0.1567978797947755</c:v>
                </c:pt>
                <c:pt idx="23">
                  <c:v>-0.30373715158477427</c:v>
                </c:pt>
                <c:pt idx="24">
                  <c:v>-3.0354422010551198E-2</c:v>
                </c:pt>
                <c:pt idx="25">
                  <c:v>3.5482356947776857E-2</c:v>
                </c:pt>
                <c:pt idx="26">
                  <c:v>-0.17433853459353557</c:v>
                </c:pt>
                <c:pt idx="27">
                  <c:v>-1.2121317513636293E-3</c:v>
                </c:pt>
                <c:pt idx="28">
                  <c:v>0.1760337818677537</c:v>
                </c:pt>
                <c:pt idx="29">
                  <c:v>7.4335126596433113E-2</c:v>
                </c:pt>
                <c:pt idx="30">
                  <c:v>-0.13104497516453267</c:v>
                </c:pt>
                <c:pt idx="31">
                  <c:v>0.20469586710985746</c:v>
                </c:pt>
                <c:pt idx="32">
                  <c:v>-0.14628759341123515</c:v>
                </c:pt>
                <c:pt idx="33">
                  <c:v>-9.5305613244837134E-2</c:v>
                </c:pt>
                <c:pt idx="34">
                  <c:v>9.7987544036167662E-2</c:v>
                </c:pt>
                <c:pt idx="35">
                  <c:v>0.10451693291995906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03-48C9-9706-BF7EF343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27104"/>
        <c:axId val="277503824"/>
      </c:lineChart>
      <c:dateAx>
        <c:axId val="99027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7503824"/>
        <c:crosses val="autoZero"/>
        <c:auto val="1"/>
        <c:lblOffset val="100"/>
        <c:baseTimeUnit val="months"/>
      </c:dateAx>
      <c:valAx>
        <c:axId val="27750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02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ESCENARIOS!$J$2</c:f>
              <c:strCache>
                <c:ptCount val="1"/>
                <c:pt idx="0">
                  <c:v>ESCENARIO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ESCENARIOS!$I$3:$I$38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ESCENARIOS!$J$3:$J$38</c:f>
              <c:numCache>
                <c:formatCode>0.000%</c:formatCode>
                <c:ptCount val="36"/>
                <c:pt idx="0">
                  <c:v>-0.2004282601812156</c:v>
                </c:pt>
                <c:pt idx="1">
                  <c:v>-0.20893255587376189</c:v>
                </c:pt>
                <c:pt idx="2">
                  <c:v>-0.18037002483120887</c:v>
                </c:pt>
                <c:pt idx="3">
                  <c:v>-0.13975647343992023</c:v>
                </c:pt>
                <c:pt idx="4">
                  <c:v>-0.13647177011458553</c:v>
                </c:pt>
                <c:pt idx="5">
                  <c:v>0.4235550726624206</c:v>
                </c:pt>
                <c:pt idx="6">
                  <c:v>-4.5716306980611993E-2</c:v>
                </c:pt>
                <c:pt idx="7">
                  <c:v>0.12903157666718471</c:v>
                </c:pt>
                <c:pt idx="8">
                  <c:v>-0.11093094063122408</c:v>
                </c:pt>
                <c:pt idx="9">
                  <c:v>0.15928364282066468</c:v>
                </c:pt>
                <c:pt idx="10">
                  <c:v>-9.1883534063672417E-2</c:v>
                </c:pt>
                <c:pt idx="11">
                  <c:v>-3.1460287668014647E-2</c:v>
                </c:pt>
                <c:pt idx="12">
                  <c:v>-0.16350947917468148</c:v>
                </c:pt>
                <c:pt idx="13">
                  <c:v>2.3960287668014647E-2</c:v>
                </c:pt>
                <c:pt idx="14">
                  <c:v>-6.8428335547796454E-2</c:v>
                </c:pt>
                <c:pt idx="15">
                  <c:v>-0.39127489126636644</c:v>
                </c:pt>
                <c:pt idx="16">
                  <c:v>0.25617663086071846</c:v>
                </c:pt>
                <c:pt idx="17">
                  <c:v>-0.16117506275273627</c:v>
                </c:pt>
                <c:pt idx="18">
                  <c:v>0.17560641972144367</c:v>
                </c:pt>
                <c:pt idx="19">
                  <c:v>3.0875557020772259E-3</c:v>
                </c:pt>
                <c:pt idx="20">
                  <c:v>-3.3257180443033579E-2</c:v>
                </c:pt>
                <c:pt idx="21">
                  <c:v>-2.9764869945356622E-2</c:v>
                </c:pt>
                <c:pt idx="22">
                  <c:v>-4.0387381924665532E-3</c:v>
                </c:pt>
                <c:pt idx="23">
                  <c:v>8.5406618287233865E-2</c:v>
                </c:pt>
                <c:pt idx="24">
                  <c:v>0.17298522597760893</c:v>
                </c:pt>
                <c:pt idx="25">
                  <c:v>-0.15947890970361187</c:v>
                </c:pt>
                <c:pt idx="26">
                  <c:v>-3.0820784597017335E-3</c:v>
                </c:pt>
                <c:pt idx="27">
                  <c:v>0.20351745151478098</c:v>
                </c:pt>
                <c:pt idx="28">
                  <c:v>-0.14122859702561982</c:v>
                </c:pt>
                <c:pt idx="29">
                  <c:v>-0.12977760307345307</c:v>
                </c:pt>
                <c:pt idx="30">
                  <c:v>-5.3086469999107065E-3</c:v>
                </c:pt>
                <c:pt idx="31">
                  <c:v>-0.26635763115715233</c:v>
                </c:pt>
                <c:pt idx="32">
                  <c:v>-3.2025753720663491E-2</c:v>
                </c:pt>
                <c:pt idx="33">
                  <c:v>0.42379037713166329</c:v>
                </c:pt>
                <c:pt idx="34">
                  <c:v>6.1998725774028568E-2</c:v>
                </c:pt>
                <c:pt idx="35">
                  <c:v>-0.15723910528700799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93-466D-BE19-4DCC1F598562}"/>
            </c:ext>
          </c:extLst>
        </c:ser>
        <c:ser>
          <c:idx val="1"/>
          <c:order val="1"/>
          <c:tx>
            <c:strRef>
              <c:f>ESCENARIOS!$K$2</c:f>
              <c:strCache>
                <c:ptCount val="1"/>
                <c:pt idx="0">
                  <c:v>ESCENARIO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ESCENARIOS!$I$3:$I$38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ESCENARIOS!$K$3:$K$38</c:f>
              <c:numCache>
                <c:formatCode>0.000%</c:formatCode>
                <c:ptCount val="36"/>
                <c:pt idx="0">
                  <c:v>-2.9050622837676201E-2</c:v>
                </c:pt>
                <c:pt idx="1">
                  <c:v>0.33755913263652476</c:v>
                </c:pt>
                <c:pt idx="2">
                  <c:v>0.33509824006236161</c:v>
                </c:pt>
                <c:pt idx="3">
                  <c:v>-0.16407445500968607</c:v>
                </c:pt>
                <c:pt idx="4">
                  <c:v>0.14812874032562831</c:v>
                </c:pt>
                <c:pt idx="5">
                  <c:v>-0.17158777573436965</c:v>
                </c:pt>
                <c:pt idx="6">
                  <c:v>0.31713568514154761</c:v>
                </c:pt>
                <c:pt idx="7">
                  <c:v>-0.19712566391186556</c:v>
                </c:pt>
                <c:pt idx="8">
                  <c:v>-0.39987330874660981</c:v>
                </c:pt>
                <c:pt idx="9">
                  <c:v>-7.1627005676564298E-2</c:v>
                </c:pt>
                <c:pt idx="10">
                  <c:v>0.41069960515946152</c:v>
                </c:pt>
                <c:pt idx="11">
                  <c:v>8.0235571620869452E-3</c:v>
                </c:pt>
                <c:pt idx="12">
                  <c:v>7.5117699414840901E-3</c:v>
                </c:pt>
                <c:pt idx="13">
                  <c:v>-0.1817578309820965</c:v>
                </c:pt>
                <c:pt idx="14">
                  <c:v>-0.14364242870593444</c:v>
                </c:pt>
                <c:pt idx="15">
                  <c:v>8.2718754943780365E-2</c:v>
                </c:pt>
                <c:pt idx="16">
                  <c:v>-0.33774998756067359</c:v>
                </c:pt>
                <c:pt idx="17">
                  <c:v>6.7619806391885501E-2</c:v>
                </c:pt>
                <c:pt idx="18">
                  <c:v>-0.20070327227964299</c:v>
                </c:pt>
                <c:pt idx="19">
                  <c:v>0.2095147741746041</c:v>
                </c:pt>
                <c:pt idx="20">
                  <c:v>-0.31714319866674484</c:v>
                </c:pt>
                <c:pt idx="21">
                  <c:v>-0.32167084882908964</c:v>
                </c:pt>
                <c:pt idx="22">
                  <c:v>0.40478758036973889</c:v>
                </c:pt>
                <c:pt idx="23">
                  <c:v>0.1089909891523712</c:v>
                </c:pt>
                <c:pt idx="24">
                  <c:v>-2.9814627036248566E-2</c:v>
                </c:pt>
                <c:pt idx="25">
                  <c:v>0.49553470980376013</c:v>
                </c:pt>
                <c:pt idx="26">
                  <c:v>-1.956769703247113E-4</c:v>
                </c:pt>
                <c:pt idx="27">
                  <c:v>-3.3623618132114647E-2</c:v>
                </c:pt>
                <c:pt idx="28">
                  <c:v>3.1370676841470423E-3</c:v>
                </c:pt>
                <c:pt idx="29">
                  <c:v>0.10242427869874518</c:v>
                </c:pt>
                <c:pt idx="30">
                  <c:v>0.10223799599392805</c:v>
                </c:pt>
                <c:pt idx="31">
                  <c:v>0.66605201518163082</c:v>
                </c:pt>
                <c:pt idx="32">
                  <c:v>8.1272858002048448E-2</c:v>
                </c:pt>
                <c:pt idx="33">
                  <c:v>0.23251725669601003</c:v>
                </c:pt>
                <c:pt idx="34">
                  <c:v>-0.11747559129085859</c:v>
                </c:pt>
                <c:pt idx="35">
                  <c:v>0.23305894719291248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93-466D-BE19-4DCC1F598562}"/>
            </c:ext>
          </c:extLst>
        </c:ser>
        <c:ser>
          <c:idx val="2"/>
          <c:order val="2"/>
          <c:tx>
            <c:strRef>
              <c:f>ESCENARIOS!$L$2</c:f>
              <c:strCache>
                <c:ptCount val="1"/>
                <c:pt idx="0">
                  <c:v>ESCENARIO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ESCENARIOS!$I$3:$I$38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ESCENARIOS!$L$3:$L$38</c:f>
              <c:numCache>
                <c:formatCode>0.000%</c:formatCode>
                <c:ptCount val="36"/>
                <c:pt idx="0">
                  <c:v>-0.41398765516001729</c:v>
                </c:pt>
                <c:pt idx="1">
                  <c:v>0.14859395687002688</c:v>
                </c:pt>
                <c:pt idx="2">
                  <c:v>-0.27245299734582656</c:v>
                </c:pt>
                <c:pt idx="3">
                  <c:v>-0.32548670297197529</c:v>
                </c:pt>
                <c:pt idx="4">
                  <c:v>3.5161270621611035E-2</c:v>
                </c:pt>
                <c:pt idx="5">
                  <c:v>6.2309768869308751E-2</c:v>
                </c:pt>
                <c:pt idx="6">
                  <c:v>4.9098893574264363E-2</c:v>
                </c:pt>
                <c:pt idx="7">
                  <c:v>1.1460963283607272E-2</c:v>
                </c:pt>
                <c:pt idx="8">
                  <c:v>-0.13559575118430076</c:v>
                </c:pt>
                <c:pt idx="9">
                  <c:v>-0.23142570226278625</c:v>
                </c:pt>
                <c:pt idx="10">
                  <c:v>-0.15463653981365497</c:v>
                </c:pt>
                <c:pt idx="11">
                  <c:v>5.2282857173704553E-2</c:v>
                </c:pt>
                <c:pt idx="12">
                  <c:v>0.17929236618860159</c:v>
                </c:pt>
                <c:pt idx="13">
                  <c:v>-0.13837062815960963</c:v>
                </c:pt>
                <c:pt idx="14">
                  <c:v>5.1754402553197007E-2</c:v>
                </c:pt>
                <c:pt idx="15">
                  <c:v>0.12548068516101921</c:v>
                </c:pt>
                <c:pt idx="16">
                  <c:v>0.29982021751115101</c:v>
                </c:pt>
                <c:pt idx="17">
                  <c:v>2.8873739116388606E-2</c:v>
                </c:pt>
                <c:pt idx="18">
                  <c:v>2.4509086320758801E-2</c:v>
                </c:pt>
                <c:pt idx="19">
                  <c:v>0.11485742370117806</c:v>
                </c:pt>
                <c:pt idx="20">
                  <c:v>-0.26929060332273363</c:v>
                </c:pt>
                <c:pt idx="21">
                  <c:v>-9.9779714768519628E-2</c:v>
                </c:pt>
                <c:pt idx="22">
                  <c:v>0.51154325719457117</c:v>
                </c:pt>
                <c:pt idx="23">
                  <c:v>-0.15600914921757067</c:v>
                </c:pt>
                <c:pt idx="24">
                  <c:v>1.3578213289147243E-2</c:v>
                </c:pt>
                <c:pt idx="25">
                  <c:v>-0.35029759838304014</c:v>
                </c:pt>
                <c:pt idx="26">
                  <c:v>-0.36889743624138643</c:v>
                </c:pt>
                <c:pt idx="27">
                  <c:v>-5.4782146984653085E-2</c:v>
                </c:pt>
                <c:pt idx="28">
                  <c:v>0.19009480219741817</c:v>
                </c:pt>
                <c:pt idx="29">
                  <c:v>-0.22048600531357809</c:v>
                </c:pt>
                <c:pt idx="30">
                  <c:v>2.6123618132114647E-2</c:v>
                </c:pt>
                <c:pt idx="31">
                  <c:v>-5.7806299632065933E-2</c:v>
                </c:pt>
                <c:pt idx="32">
                  <c:v>0.10382286963780643</c:v>
                </c:pt>
                <c:pt idx="33">
                  <c:v>-3.5522966394783001E-2</c:v>
                </c:pt>
                <c:pt idx="34">
                  <c:v>-0.24249824819358767</c:v>
                </c:pt>
                <c:pt idx="35">
                  <c:v>-0.32863488068338481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93-466D-BE19-4DCC1F598562}"/>
            </c:ext>
          </c:extLst>
        </c:ser>
        <c:ser>
          <c:idx val="3"/>
          <c:order val="3"/>
          <c:tx>
            <c:strRef>
              <c:f>ESCENARIOS!$M$2</c:f>
              <c:strCache>
                <c:ptCount val="1"/>
                <c:pt idx="0">
                  <c:v>ESCENARIO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ESCENARIOS!$I$3:$I$38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ESCENARIOS!$M$3:$M$38</c:f>
              <c:numCache>
                <c:formatCode>0.000%</c:formatCode>
                <c:ptCount val="36"/>
                <c:pt idx="0">
                  <c:v>0.30124920194415611</c:v>
                </c:pt>
                <c:pt idx="1">
                  <c:v>0.25346817837620622</c:v>
                </c:pt>
                <c:pt idx="2">
                  <c:v>-9.3338009814178807E-2</c:v>
                </c:pt>
                <c:pt idx="3">
                  <c:v>0.25903067798557461</c:v>
                </c:pt>
                <c:pt idx="4">
                  <c:v>-6.5896606524038365E-2</c:v>
                </c:pt>
                <c:pt idx="5">
                  <c:v>0.39841475099441598</c:v>
                </c:pt>
                <c:pt idx="6">
                  <c:v>-8.2215216574841182E-2</c:v>
                </c:pt>
                <c:pt idx="7">
                  <c:v>-0.10533044915442588</c:v>
                </c:pt>
                <c:pt idx="8">
                  <c:v>5.9411602156469595E-2</c:v>
                </c:pt>
                <c:pt idx="9">
                  <c:v>-6.1114778513147033E-2</c:v>
                </c:pt>
                <c:pt idx="10">
                  <c:v>7.5156167345849095E-2</c:v>
                </c:pt>
                <c:pt idx="11">
                  <c:v>-0.20924433429550846</c:v>
                </c:pt>
                <c:pt idx="12">
                  <c:v>0.19923834169807378</c:v>
                </c:pt>
                <c:pt idx="13">
                  <c:v>-0.63734650084748867</c:v>
                </c:pt>
                <c:pt idx="14">
                  <c:v>4.9285911605547877E-2</c:v>
                </c:pt>
                <c:pt idx="15">
                  <c:v>4.3760913645965044E-2</c:v>
                </c:pt>
                <c:pt idx="16">
                  <c:v>-2.8120679966523312E-2</c:v>
                </c:pt>
                <c:pt idx="17">
                  <c:v>-1.6828761639917502E-2</c:v>
                </c:pt>
                <c:pt idx="18">
                  <c:v>0.31663762401498391</c:v>
                </c:pt>
                <c:pt idx="19">
                  <c:v>0.32077604136778975</c:v>
                </c:pt>
                <c:pt idx="20">
                  <c:v>-0.10715871585867717</c:v>
                </c:pt>
                <c:pt idx="21">
                  <c:v>0.14166473046847386</c:v>
                </c:pt>
                <c:pt idx="22">
                  <c:v>9.403126241144491E-2</c:v>
                </c:pt>
                <c:pt idx="23">
                  <c:v>0.30442238075542266</c:v>
                </c:pt>
                <c:pt idx="24">
                  <c:v>0.24732280998781789</c:v>
                </c:pt>
                <c:pt idx="25">
                  <c:v>-0.15245311042614049</c:v>
                </c:pt>
                <c:pt idx="26">
                  <c:v>9.8826816516375399E-2</c:v>
                </c:pt>
                <c:pt idx="27">
                  <c:v>9.2006663540669248E-2</c:v>
                </c:pt>
                <c:pt idx="28">
                  <c:v>-0.37077987199532797</c:v>
                </c:pt>
                <c:pt idx="29">
                  <c:v>-0.15522725207498297</c:v>
                </c:pt>
                <c:pt idx="30">
                  <c:v>-0.12138017482735451</c:v>
                </c:pt>
                <c:pt idx="31">
                  <c:v>-0.18296621747518657</c:v>
                </c:pt>
                <c:pt idx="32">
                  <c:v>-8.7419612195080848E-2</c:v>
                </c:pt>
                <c:pt idx="33">
                  <c:v>-0.22273904560657687</c:v>
                </c:pt>
                <c:pt idx="34">
                  <c:v>-0.12455090255039979</c:v>
                </c:pt>
                <c:pt idx="35">
                  <c:v>-3.250812788261101E-2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93-466D-BE19-4DCC1F598562}"/>
            </c:ext>
          </c:extLst>
        </c:ser>
        <c:ser>
          <c:idx val="4"/>
          <c:order val="4"/>
          <c:tx>
            <c:strRef>
              <c:f>ESCENARIOS!$N$2</c:f>
              <c:strCache>
                <c:ptCount val="1"/>
                <c:pt idx="0">
                  <c:v>ESCENARIO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ESCENARIOS!$I$3:$I$38</c:f>
              <c:numCache>
                <c:formatCode>m/d/yyyy</c:formatCode>
                <c:ptCount val="36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  <c:pt idx="12">
                  <c:v>45323</c:v>
                </c:pt>
                <c:pt idx="13">
                  <c:v>45352</c:v>
                </c:pt>
                <c:pt idx="14">
                  <c:v>45383</c:v>
                </c:pt>
                <c:pt idx="15">
                  <c:v>45413</c:v>
                </c:pt>
                <c:pt idx="16">
                  <c:v>45444</c:v>
                </c:pt>
                <c:pt idx="17">
                  <c:v>45474</c:v>
                </c:pt>
                <c:pt idx="18">
                  <c:v>45505</c:v>
                </c:pt>
                <c:pt idx="19">
                  <c:v>45536</c:v>
                </c:pt>
                <c:pt idx="20">
                  <c:v>45566</c:v>
                </c:pt>
                <c:pt idx="21">
                  <c:v>45597</c:v>
                </c:pt>
                <c:pt idx="22">
                  <c:v>45627</c:v>
                </c:pt>
                <c:pt idx="23">
                  <c:v>45658</c:v>
                </c:pt>
                <c:pt idx="24">
                  <c:v>45689</c:v>
                </c:pt>
                <c:pt idx="25">
                  <c:v>45717</c:v>
                </c:pt>
                <c:pt idx="26">
                  <c:v>45748</c:v>
                </c:pt>
                <c:pt idx="27">
                  <c:v>45778</c:v>
                </c:pt>
                <c:pt idx="28">
                  <c:v>45809</c:v>
                </c:pt>
                <c:pt idx="29">
                  <c:v>45839</c:v>
                </c:pt>
                <c:pt idx="30">
                  <c:v>45870</c:v>
                </c:pt>
                <c:pt idx="31">
                  <c:v>45901</c:v>
                </c:pt>
                <c:pt idx="32">
                  <c:v>45931</c:v>
                </c:pt>
                <c:pt idx="33">
                  <c:v>45962</c:v>
                </c:pt>
                <c:pt idx="34">
                  <c:v>45992</c:v>
                </c:pt>
                <c:pt idx="35">
                  <c:v>46023</c:v>
                </c:pt>
              </c:numCache>
            </c:numRef>
          </c:cat>
          <c:val>
            <c:numRef>
              <c:f>ESCENARIOS!$N$3:$N$38</c:f>
              <c:numCache>
                <c:formatCode>0.000%</c:formatCode>
                <c:ptCount val="36"/>
                <c:pt idx="0">
                  <c:v>-4.8797065611870492E-3</c:v>
                </c:pt>
                <c:pt idx="1">
                  <c:v>-8.26385195106559E-2</c:v>
                </c:pt>
                <c:pt idx="2">
                  <c:v>-3.2957657462393403E-2</c:v>
                </c:pt>
                <c:pt idx="3">
                  <c:v>-0.11615077810725781</c:v>
                </c:pt>
                <c:pt idx="4">
                  <c:v>-6.7548885094001893E-2</c:v>
                </c:pt>
                <c:pt idx="5">
                  <c:v>0.33295991069811864</c:v>
                </c:pt>
                <c:pt idx="6">
                  <c:v>-0.11063239808587241</c:v>
                </c:pt>
                <c:pt idx="7">
                  <c:v>-0.20067827117978596</c:v>
                </c:pt>
                <c:pt idx="8">
                  <c:v>-0.32523571153811642</c:v>
                </c:pt>
                <c:pt idx="9">
                  <c:v>8.0133101979154159E-2</c:v>
                </c:pt>
                <c:pt idx="10">
                  <c:v>-0.17178876496851445</c:v>
                </c:pt>
                <c:pt idx="11">
                  <c:v>-5.1818536216305805E-2</c:v>
                </c:pt>
                <c:pt idx="12">
                  <c:v>7.4222057624720034E-2</c:v>
                </c:pt>
                <c:pt idx="13">
                  <c:v>3.7695450733590402E-2</c:v>
                </c:pt>
                <c:pt idx="14">
                  <c:v>-0.17688653825112852</c:v>
                </c:pt>
                <c:pt idx="15">
                  <c:v>0.12122240959419288</c:v>
                </c:pt>
                <c:pt idx="16">
                  <c:v>-0.1742805412542657</c:v>
                </c:pt>
                <c:pt idx="17">
                  <c:v>0.26359607490652709</c:v>
                </c:pt>
                <c:pt idx="18">
                  <c:v>7.1867297170538219E-2</c:v>
                </c:pt>
                <c:pt idx="19">
                  <c:v>-0.26680814117222323</c:v>
                </c:pt>
                <c:pt idx="20">
                  <c:v>-0.37601539643597787</c:v>
                </c:pt>
                <c:pt idx="21">
                  <c:v>0.17726678688253741</c:v>
                </c:pt>
                <c:pt idx="22">
                  <c:v>0.13384992589257308</c:v>
                </c:pt>
                <c:pt idx="23">
                  <c:v>6.270733537880005E-2</c:v>
                </c:pt>
                <c:pt idx="24">
                  <c:v>-9.6801887688488936E-2</c:v>
                </c:pt>
                <c:pt idx="25">
                  <c:v>0.28996390155574775</c:v>
                </c:pt>
                <c:pt idx="26">
                  <c:v>0.14625316761870635</c:v>
                </c:pt>
                <c:pt idx="27">
                  <c:v>-0.13565531262807781</c:v>
                </c:pt>
                <c:pt idx="28">
                  <c:v>1.4256674508797005E-2</c:v>
                </c:pt>
                <c:pt idx="29">
                  <c:v>-0.12784565533744172</c:v>
                </c:pt>
                <c:pt idx="30">
                  <c:v>4.4572223847208076E-2</c:v>
                </c:pt>
                <c:pt idx="31">
                  <c:v>9.2152258181013164E-2</c:v>
                </c:pt>
                <c:pt idx="32">
                  <c:v>-8.0860009897296553E-2</c:v>
                </c:pt>
                <c:pt idx="33">
                  <c:v>9.4451869150216222E-2</c:v>
                </c:pt>
                <c:pt idx="34">
                  <c:v>6.7685999927925879E-3</c:v>
                </c:pt>
                <c:pt idx="35">
                  <c:v>-0.20869921227509622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93-466D-BE19-4DCC1F598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431040"/>
        <c:axId val="277486064"/>
      </c:lineChart>
      <c:dateAx>
        <c:axId val="430431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7486064"/>
        <c:crosses val="autoZero"/>
        <c:auto val="1"/>
        <c:lblOffset val="100"/>
        <c:baseTimeUnit val="months"/>
      </c:dateAx>
      <c:valAx>
        <c:axId val="27748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304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751267</xdr:colOff>
      <xdr:row>0</xdr:row>
      <xdr:rowOff>241480</xdr:rowOff>
    </xdr:from>
    <xdr:to>
      <xdr:col>8</xdr:col>
      <xdr:colOff>720709</xdr:colOff>
      <xdr:row>12</xdr:row>
      <xdr:rowOff>62372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531BEC-2B2B-F3B8-90C3-D86C719E2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1126" y="241480"/>
          <a:ext cx="4038808" cy="23877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</xdr:colOff>
      <xdr:row>39</xdr:row>
      <xdr:rowOff>7937</xdr:rowOff>
    </xdr:from>
    <xdr:to>
      <xdr:col>7</xdr:col>
      <xdr:colOff>7937</xdr:colOff>
      <xdr:row>56</xdr:row>
      <xdr:rowOff>198437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534885-F077-FE72-56F5-1808DDFAF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38</xdr:row>
      <xdr:rowOff>198437</xdr:rowOff>
    </xdr:from>
    <xdr:to>
      <xdr:col>14</xdr:col>
      <xdr:colOff>15875</xdr:colOff>
      <xdr:row>57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6F145A-D690-70FB-0428-F76B38FBA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6AD5-70FB-4F48-A1C9-FC7FC2BE3B74}">
  <dimension ref="A1:C98"/>
  <sheetViews>
    <sheetView topLeftCell="C1" zoomScale="94" zoomScaleNormal="71" workbookViewId="0">
      <selection activeCell="I7" sqref="I7"/>
    </sheetView>
  </sheetViews>
  <sheetFormatPr baseColWidth="10" defaultRowHeight="16" x14ac:dyDescent="0.4"/>
  <cols>
    <col min="1" max="1" width="10.5" bestFit="1" customWidth="1"/>
    <col min="2" max="2" width="14" bestFit="1" customWidth="1"/>
    <col min="3" max="3" width="13.33203125" bestFit="1" customWidth="1"/>
  </cols>
  <sheetData>
    <row r="1" spans="1:3" ht="24" thickBot="1" x14ac:dyDescent="0.6">
      <c r="A1" s="62" t="s">
        <v>0</v>
      </c>
      <c r="B1" s="62" t="s">
        <v>1</v>
      </c>
      <c r="C1" s="62" t="s">
        <v>2</v>
      </c>
    </row>
    <row r="2" spans="1:3" x14ac:dyDescent="0.4">
      <c r="A2" s="31">
        <v>42005</v>
      </c>
      <c r="B2" s="43">
        <v>7.6505200000000002</v>
      </c>
      <c r="C2" s="61">
        <v>50.099997999999999</v>
      </c>
    </row>
    <row r="3" spans="1:3" x14ac:dyDescent="0.4">
      <c r="A3" s="7">
        <v>42036</v>
      </c>
      <c r="B3" s="1">
        <v>8.337847</v>
      </c>
      <c r="C3" s="59">
        <v>59.5</v>
      </c>
    </row>
    <row r="4" spans="1:3" x14ac:dyDescent="0.4">
      <c r="A4" s="7">
        <v>42064</v>
      </c>
      <c r="B4" s="1">
        <v>8.2350689999999993</v>
      </c>
      <c r="C4" s="59">
        <v>51.099997999999999</v>
      </c>
    </row>
    <row r="5" spans="1:3" x14ac:dyDescent="0.4">
      <c r="A5" s="7">
        <v>42095</v>
      </c>
      <c r="B5" s="1">
        <v>9.3463539999999998</v>
      </c>
      <c r="C5" s="59">
        <v>56.700001</v>
      </c>
    </row>
    <row r="6" spans="1:3" x14ac:dyDescent="0.4">
      <c r="A6" s="7">
        <v>42125</v>
      </c>
      <c r="B6" s="1">
        <v>9.1086799999999997</v>
      </c>
      <c r="C6" s="59">
        <v>70.800003000000004</v>
      </c>
    </row>
    <row r="7" spans="1:3" x14ac:dyDescent="0.4">
      <c r="A7" s="7">
        <v>42156</v>
      </c>
      <c r="B7" s="1">
        <v>7.6184019999999997</v>
      </c>
      <c r="C7" s="59">
        <v>58.799999</v>
      </c>
    </row>
    <row r="8" spans="1:3" x14ac:dyDescent="0.4">
      <c r="A8" s="7">
        <v>42186</v>
      </c>
      <c r="B8" s="1">
        <v>6.0638889999999996</v>
      </c>
      <c r="C8" s="59">
        <v>48.299999</v>
      </c>
    </row>
    <row r="9" spans="1:3" x14ac:dyDescent="0.4">
      <c r="A9" s="7">
        <v>42217</v>
      </c>
      <c r="B9" s="1">
        <v>4.8305550000000004</v>
      </c>
      <c r="C9" s="59">
        <v>27.200001</v>
      </c>
    </row>
    <row r="10" spans="1:3" x14ac:dyDescent="0.4">
      <c r="A10" s="7">
        <v>42248</v>
      </c>
      <c r="B10" s="1">
        <v>4.4901039999999997</v>
      </c>
      <c r="C10" s="59">
        <v>27.9</v>
      </c>
    </row>
    <row r="11" spans="1:3" x14ac:dyDescent="0.4">
      <c r="A11" s="7">
        <v>42278</v>
      </c>
      <c r="B11" s="1">
        <v>4.5993050000000002</v>
      </c>
      <c r="C11" s="59">
        <v>21.200001</v>
      </c>
    </row>
    <row r="12" spans="1:3" x14ac:dyDescent="0.4">
      <c r="A12" s="7">
        <v>42309</v>
      </c>
      <c r="B12" s="1">
        <v>4.2395829999999997</v>
      </c>
      <c r="C12" s="59">
        <v>17.600000000000001</v>
      </c>
    </row>
    <row r="13" spans="1:3" x14ac:dyDescent="0.4">
      <c r="A13" s="7">
        <v>42339</v>
      </c>
      <c r="B13" s="1">
        <v>3.9376730000000002</v>
      </c>
      <c r="C13" s="59">
        <v>19.5</v>
      </c>
    </row>
    <row r="14" spans="1:3" x14ac:dyDescent="0.4">
      <c r="A14" s="7">
        <v>42370</v>
      </c>
      <c r="B14" s="1">
        <v>3.796354</v>
      </c>
      <c r="C14" s="59">
        <v>16.5</v>
      </c>
    </row>
    <row r="15" spans="1:3" x14ac:dyDescent="0.4">
      <c r="A15" s="7">
        <v>42401</v>
      </c>
      <c r="B15" s="1">
        <v>3.7706590000000002</v>
      </c>
      <c r="C15" s="59">
        <v>12.1</v>
      </c>
    </row>
    <row r="16" spans="1:3" x14ac:dyDescent="0.4">
      <c r="A16" s="7">
        <v>42430</v>
      </c>
      <c r="B16" s="1">
        <v>5.196701</v>
      </c>
      <c r="C16" s="59">
        <v>11.6</v>
      </c>
    </row>
    <row r="17" spans="1:3" x14ac:dyDescent="0.4">
      <c r="A17" s="7">
        <v>42461</v>
      </c>
      <c r="B17" s="1">
        <v>4.4001729999999997</v>
      </c>
      <c r="C17" s="59">
        <v>10.199999999999999</v>
      </c>
    </row>
    <row r="18" spans="1:3" x14ac:dyDescent="0.4">
      <c r="A18" s="7">
        <v>42491</v>
      </c>
      <c r="B18" s="1">
        <v>3.6164930000000002</v>
      </c>
      <c r="C18" s="59">
        <v>9.1</v>
      </c>
    </row>
    <row r="19" spans="1:3" x14ac:dyDescent="0.4">
      <c r="A19" s="7">
        <v>42522</v>
      </c>
      <c r="B19" s="1">
        <v>4.6763880000000002</v>
      </c>
      <c r="C19" s="59">
        <v>13.2</v>
      </c>
    </row>
    <row r="20" spans="1:3" x14ac:dyDescent="0.4">
      <c r="A20" s="7">
        <v>42552</v>
      </c>
      <c r="B20" s="1">
        <v>5.8390620000000002</v>
      </c>
      <c r="C20" s="59">
        <v>24.799999</v>
      </c>
    </row>
    <row r="21" spans="1:3" x14ac:dyDescent="0.4">
      <c r="A21" s="7">
        <v>42583</v>
      </c>
      <c r="B21" s="1">
        <v>5.6206589999999998</v>
      </c>
      <c r="C21" s="59">
        <v>25.200001</v>
      </c>
    </row>
    <row r="22" spans="1:3" x14ac:dyDescent="0.4">
      <c r="A22" s="7">
        <v>42614</v>
      </c>
      <c r="B22" s="1">
        <v>5.5114580000000002</v>
      </c>
      <c r="C22" s="59">
        <v>28.799999</v>
      </c>
    </row>
    <row r="23" spans="1:3" x14ac:dyDescent="0.4">
      <c r="A23" s="7">
        <v>42644</v>
      </c>
      <c r="B23" s="1">
        <v>6.26302</v>
      </c>
      <c r="C23" s="59">
        <v>27.299999</v>
      </c>
    </row>
    <row r="24" spans="1:3" x14ac:dyDescent="0.4">
      <c r="A24" s="7">
        <v>42675</v>
      </c>
      <c r="B24" s="1">
        <v>5.0746520000000004</v>
      </c>
      <c r="C24" s="59">
        <v>22.1</v>
      </c>
    </row>
    <row r="25" spans="1:3" x14ac:dyDescent="0.4">
      <c r="A25" s="7">
        <v>42705</v>
      </c>
      <c r="B25" s="1">
        <v>4.952604</v>
      </c>
      <c r="C25" s="59">
        <v>22.5</v>
      </c>
    </row>
    <row r="26" spans="1:3" x14ac:dyDescent="0.4">
      <c r="A26" s="7">
        <v>42736</v>
      </c>
      <c r="B26" s="1">
        <v>5.8711799999999998</v>
      </c>
      <c r="C26" s="59">
        <v>32</v>
      </c>
    </row>
    <row r="27" spans="1:3" x14ac:dyDescent="0.4">
      <c r="A27" s="7">
        <v>42767</v>
      </c>
      <c r="B27" s="1">
        <v>6.8668399999999998</v>
      </c>
      <c r="C27" s="59">
        <v>34.400002000000001</v>
      </c>
    </row>
    <row r="28" spans="1:3" x14ac:dyDescent="0.4">
      <c r="A28" s="7">
        <v>42795</v>
      </c>
      <c r="B28" s="1">
        <v>6.6291659999999997</v>
      </c>
      <c r="C28" s="59">
        <v>39.200001</v>
      </c>
    </row>
    <row r="29" spans="1:3" x14ac:dyDescent="0.4">
      <c r="A29" s="7">
        <v>42826</v>
      </c>
      <c r="B29" s="1">
        <v>5.7041659999999998</v>
      </c>
      <c r="C29" s="59">
        <v>34</v>
      </c>
    </row>
    <row r="30" spans="1:3" x14ac:dyDescent="0.4">
      <c r="A30" s="7">
        <v>42856</v>
      </c>
      <c r="B30" s="1">
        <v>4.9076380000000004</v>
      </c>
      <c r="C30" s="59">
        <v>35.5</v>
      </c>
    </row>
    <row r="31" spans="1:3" x14ac:dyDescent="0.4">
      <c r="A31" s="7">
        <v>42887</v>
      </c>
      <c r="B31" s="1">
        <v>5.190277</v>
      </c>
      <c r="C31" s="59">
        <v>34.200001</v>
      </c>
    </row>
    <row r="32" spans="1:3" x14ac:dyDescent="0.4">
      <c r="A32" s="7">
        <v>42917</v>
      </c>
      <c r="B32" s="1">
        <v>5.4729159999999997</v>
      </c>
      <c r="C32" s="59">
        <v>34.099997999999999</v>
      </c>
    </row>
    <row r="33" spans="1:3" x14ac:dyDescent="0.4">
      <c r="A33" s="7">
        <v>42948</v>
      </c>
      <c r="B33" s="1">
        <v>5.3829859999999998</v>
      </c>
      <c r="C33" s="59">
        <v>37</v>
      </c>
    </row>
    <row r="34" spans="1:3" x14ac:dyDescent="0.4">
      <c r="A34" s="7">
        <v>42979</v>
      </c>
      <c r="B34" s="1">
        <v>5.1260409999999998</v>
      </c>
      <c r="C34" s="59">
        <v>35.799999</v>
      </c>
    </row>
    <row r="35" spans="1:3" x14ac:dyDescent="0.4">
      <c r="A35" s="7">
        <v>43009</v>
      </c>
      <c r="B35" s="1">
        <v>5.1223340000000004</v>
      </c>
      <c r="C35" s="59">
        <v>38.200001</v>
      </c>
    </row>
    <row r="36" spans="1:3" x14ac:dyDescent="0.4">
      <c r="A36" s="7">
        <v>43040</v>
      </c>
      <c r="B36" s="1">
        <v>4.3735330000000001</v>
      </c>
      <c r="C36" s="59">
        <v>38.799999</v>
      </c>
    </row>
    <row r="37" spans="1:3" x14ac:dyDescent="0.4">
      <c r="A37" s="7">
        <v>43070</v>
      </c>
      <c r="B37" s="1">
        <v>4.5524500000000003</v>
      </c>
      <c r="C37" s="59">
        <v>34.700001</v>
      </c>
    </row>
    <row r="38" spans="1:3" x14ac:dyDescent="0.4">
      <c r="A38" s="7">
        <v>43101</v>
      </c>
      <c r="B38" s="1">
        <v>4.9699229999999996</v>
      </c>
      <c r="C38" s="59">
        <v>36</v>
      </c>
    </row>
    <row r="39" spans="1:3" x14ac:dyDescent="0.4">
      <c r="A39" s="7">
        <v>43132</v>
      </c>
      <c r="B39" s="1">
        <v>5.44041</v>
      </c>
      <c r="C39" s="59">
        <v>38</v>
      </c>
    </row>
    <row r="40" spans="1:3" x14ac:dyDescent="0.4">
      <c r="A40" s="7">
        <v>43160</v>
      </c>
      <c r="B40" s="1">
        <v>5.672339</v>
      </c>
      <c r="C40" s="59">
        <v>35.200001</v>
      </c>
    </row>
    <row r="41" spans="1:3" x14ac:dyDescent="0.4">
      <c r="A41" s="7">
        <v>43191</v>
      </c>
      <c r="B41" s="1">
        <v>5.6060739999999996</v>
      </c>
      <c r="C41" s="59">
        <v>32.799999</v>
      </c>
    </row>
    <row r="42" spans="1:3" x14ac:dyDescent="0.4">
      <c r="A42" s="7">
        <v>43221</v>
      </c>
      <c r="B42" s="1">
        <v>5.0825750000000003</v>
      </c>
      <c r="C42" s="59">
        <v>29</v>
      </c>
    </row>
    <row r="43" spans="1:3" x14ac:dyDescent="0.4">
      <c r="A43" s="7">
        <v>43252</v>
      </c>
      <c r="B43" s="1">
        <v>4.8373920000000004</v>
      </c>
      <c r="C43" s="59">
        <v>28.9</v>
      </c>
    </row>
    <row r="44" spans="1:3" x14ac:dyDescent="0.4">
      <c r="A44" s="7">
        <v>43282</v>
      </c>
      <c r="B44" s="1">
        <v>5.4536629999999997</v>
      </c>
      <c r="C44" s="59">
        <v>27.5</v>
      </c>
    </row>
    <row r="45" spans="1:3" x14ac:dyDescent="0.4">
      <c r="A45" s="7">
        <v>43313</v>
      </c>
      <c r="B45" s="1">
        <v>4.9434170000000002</v>
      </c>
      <c r="C45" s="59">
        <v>25.6</v>
      </c>
    </row>
    <row r="46" spans="1:3" x14ac:dyDescent="0.4">
      <c r="A46" s="7">
        <v>43344</v>
      </c>
      <c r="B46" s="1">
        <v>4.7446200000000003</v>
      </c>
      <c r="C46" s="59">
        <v>20.100000000000001</v>
      </c>
    </row>
    <row r="47" spans="1:3" x14ac:dyDescent="0.4">
      <c r="A47" s="7">
        <v>43374</v>
      </c>
      <c r="B47" s="1">
        <v>7.3091010000000001</v>
      </c>
      <c r="C47" s="59">
        <v>24.1</v>
      </c>
    </row>
    <row r="48" spans="1:3" x14ac:dyDescent="0.4">
      <c r="A48" s="7">
        <v>43405</v>
      </c>
      <c r="B48" s="1">
        <v>8.422364</v>
      </c>
      <c r="C48" s="59">
        <v>14.6</v>
      </c>
    </row>
    <row r="49" spans="1:3" x14ac:dyDescent="0.4">
      <c r="A49" s="7">
        <v>43435</v>
      </c>
      <c r="B49" s="1">
        <v>9.1844190000000001</v>
      </c>
      <c r="C49" s="59">
        <v>12.6</v>
      </c>
    </row>
    <row r="50" spans="1:3" x14ac:dyDescent="0.4">
      <c r="A50" s="7">
        <v>43466</v>
      </c>
      <c r="B50" s="1">
        <v>9.1777920000000002</v>
      </c>
      <c r="C50" s="59">
        <v>13.4</v>
      </c>
    </row>
    <row r="51" spans="1:3" x14ac:dyDescent="0.4">
      <c r="A51" s="7">
        <v>43497</v>
      </c>
      <c r="B51" s="1">
        <v>9.5422530000000005</v>
      </c>
      <c r="C51" s="59">
        <v>18</v>
      </c>
    </row>
    <row r="52" spans="1:3" x14ac:dyDescent="0.4">
      <c r="A52" s="7">
        <v>43525</v>
      </c>
      <c r="B52" s="1">
        <v>9.2109249999999996</v>
      </c>
      <c r="C52" s="59">
        <v>15.1</v>
      </c>
    </row>
    <row r="53" spans="1:3" x14ac:dyDescent="0.4">
      <c r="A53" s="7">
        <v>43556</v>
      </c>
      <c r="B53" s="1">
        <v>9.767557</v>
      </c>
      <c r="C53" s="59">
        <v>16.799999</v>
      </c>
    </row>
    <row r="54" spans="1:3" x14ac:dyDescent="0.4">
      <c r="A54" s="7">
        <v>43586</v>
      </c>
      <c r="B54" s="1">
        <v>9.7808100000000007</v>
      </c>
      <c r="C54" s="59">
        <v>16</v>
      </c>
    </row>
    <row r="55" spans="1:3" x14ac:dyDescent="0.4">
      <c r="A55" s="7">
        <v>43617</v>
      </c>
      <c r="B55" s="1">
        <v>9.8404489999999996</v>
      </c>
      <c r="C55" s="59">
        <v>16.5</v>
      </c>
    </row>
    <row r="56" spans="1:3" x14ac:dyDescent="0.4">
      <c r="A56" s="7">
        <v>43647</v>
      </c>
      <c r="B56" s="1">
        <v>9.3699630000000003</v>
      </c>
      <c r="C56" s="59">
        <v>17.200001</v>
      </c>
    </row>
    <row r="57" spans="1:3" x14ac:dyDescent="0.4">
      <c r="A57" s="7">
        <v>43678</v>
      </c>
      <c r="B57" s="1">
        <v>9.7808100000000007</v>
      </c>
      <c r="C57" s="59">
        <v>16.399999999999999</v>
      </c>
    </row>
    <row r="58" spans="1:3" x14ac:dyDescent="0.4">
      <c r="A58" s="7">
        <v>43709</v>
      </c>
      <c r="B58" s="1">
        <v>9.4958670000000005</v>
      </c>
      <c r="C58" s="59">
        <v>14.3</v>
      </c>
    </row>
    <row r="59" spans="1:3" x14ac:dyDescent="0.4">
      <c r="A59" s="7">
        <v>43739</v>
      </c>
      <c r="B59" s="1">
        <v>9.045261</v>
      </c>
      <c r="C59" s="59">
        <v>13.1</v>
      </c>
    </row>
    <row r="60" spans="1:3" x14ac:dyDescent="0.4">
      <c r="A60" s="7">
        <v>43770</v>
      </c>
      <c r="B60" s="1">
        <v>8.6476670000000002</v>
      </c>
      <c r="C60" s="59">
        <v>12.5</v>
      </c>
    </row>
    <row r="61" spans="1:3" x14ac:dyDescent="0.4">
      <c r="A61" s="7">
        <v>43800</v>
      </c>
      <c r="B61" s="1">
        <v>9.1380330000000001</v>
      </c>
      <c r="C61" s="59">
        <v>12.3</v>
      </c>
    </row>
    <row r="62" spans="1:3" x14ac:dyDescent="0.4">
      <c r="A62" s="7">
        <v>43831</v>
      </c>
      <c r="B62" s="1">
        <v>9.9067150000000002</v>
      </c>
      <c r="C62" s="59">
        <v>13.5</v>
      </c>
    </row>
    <row r="63" spans="1:3" x14ac:dyDescent="0.4">
      <c r="A63" s="7">
        <v>43862</v>
      </c>
      <c r="B63" s="1">
        <v>9.2506850000000007</v>
      </c>
      <c r="C63" s="59">
        <v>13.2</v>
      </c>
    </row>
    <row r="64" spans="1:3" x14ac:dyDescent="0.4">
      <c r="A64" s="7">
        <v>43891</v>
      </c>
      <c r="B64" s="1">
        <v>5.9042690000000002</v>
      </c>
      <c r="C64" s="59">
        <v>9.3000000000000007</v>
      </c>
    </row>
    <row r="65" spans="1:3" x14ac:dyDescent="0.4">
      <c r="A65" s="7">
        <v>43922</v>
      </c>
      <c r="B65" s="1">
        <v>6.3084899999999999</v>
      </c>
      <c r="C65" s="59">
        <v>10</v>
      </c>
    </row>
    <row r="66" spans="1:3" x14ac:dyDescent="0.4">
      <c r="A66" s="7">
        <v>43952</v>
      </c>
      <c r="B66" s="1">
        <v>7.1566900000000002</v>
      </c>
      <c r="C66" s="59">
        <v>11</v>
      </c>
    </row>
    <row r="67" spans="1:3" x14ac:dyDescent="0.4">
      <c r="A67" s="7">
        <v>43983</v>
      </c>
      <c r="B67" s="1">
        <v>7.3024740000000001</v>
      </c>
      <c r="C67" s="59">
        <v>15</v>
      </c>
    </row>
    <row r="68" spans="1:3" x14ac:dyDescent="0.4">
      <c r="A68" s="7">
        <v>44013</v>
      </c>
      <c r="B68" s="1">
        <v>7.9518779999999998</v>
      </c>
      <c r="C68" s="59">
        <v>29.799999</v>
      </c>
    </row>
    <row r="69" spans="1:3" x14ac:dyDescent="0.4">
      <c r="A69" s="7">
        <v>44044</v>
      </c>
      <c r="B69" s="1">
        <v>7.2647750000000002</v>
      </c>
      <c r="C69" s="59">
        <v>23.799999</v>
      </c>
    </row>
    <row r="70" spans="1:3" x14ac:dyDescent="0.4">
      <c r="A70" s="7">
        <v>44075</v>
      </c>
      <c r="B70" s="1">
        <v>6.9681129999999998</v>
      </c>
      <c r="C70" s="59">
        <v>24.200001</v>
      </c>
    </row>
    <row r="71" spans="1:3" x14ac:dyDescent="0.4">
      <c r="A71" s="7">
        <v>44105</v>
      </c>
      <c r="B71" s="1">
        <v>7.0716000000000001</v>
      </c>
      <c r="C71" s="59">
        <v>20</v>
      </c>
    </row>
    <row r="72" spans="1:3" x14ac:dyDescent="0.4">
      <c r="A72" s="7">
        <v>44136</v>
      </c>
      <c r="B72" s="1">
        <v>8.7135909999999992</v>
      </c>
      <c r="C72" s="59">
        <v>30.200001</v>
      </c>
    </row>
    <row r="73" spans="1:3" x14ac:dyDescent="0.4">
      <c r="A73" s="7">
        <v>44166</v>
      </c>
      <c r="B73" s="1">
        <v>10.045121999999999</v>
      </c>
      <c r="C73" s="59">
        <v>28.200001</v>
      </c>
    </row>
    <row r="74" spans="1:3" x14ac:dyDescent="0.4">
      <c r="A74" s="7">
        <v>44197</v>
      </c>
      <c r="B74" s="1">
        <v>9.4517969999999991</v>
      </c>
      <c r="C74" s="59">
        <v>26.6</v>
      </c>
    </row>
    <row r="75" spans="1:3" x14ac:dyDescent="0.4">
      <c r="A75" s="7">
        <v>44228</v>
      </c>
      <c r="B75" s="1">
        <v>8.2513500000000004</v>
      </c>
      <c r="C75" s="59">
        <v>23</v>
      </c>
    </row>
    <row r="76" spans="1:3" x14ac:dyDescent="0.4">
      <c r="A76" s="7">
        <v>44256</v>
      </c>
      <c r="B76" s="1">
        <v>8.9895560000000003</v>
      </c>
      <c r="C76" s="59">
        <v>26.799999</v>
      </c>
    </row>
    <row r="77" spans="1:3" x14ac:dyDescent="0.4">
      <c r="A77" s="7">
        <v>44287</v>
      </c>
      <c r="B77" s="1">
        <v>9.5483849999999997</v>
      </c>
      <c r="C77" s="59">
        <v>23.799999</v>
      </c>
    </row>
    <row r="78" spans="1:3" x14ac:dyDescent="0.4">
      <c r="A78" s="7">
        <v>44317</v>
      </c>
      <c r="B78" s="1">
        <v>10.446153000000001</v>
      </c>
      <c r="C78" s="59">
        <v>22.6</v>
      </c>
    </row>
    <row r="79" spans="1:3" x14ac:dyDescent="0.4">
      <c r="A79" s="7">
        <v>44348</v>
      </c>
      <c r="B79" s="1">
        <v>9.3307690000000001</v>
      </c>
      <c r="C79" s="59">
        <v>22.1</v>
      </c>
    </row>
    <row r="80" spans="1:3" x14ac:dyDescent="0.4">
      <c r="A80" s="7">
        <v>44378</v>
      </c>
      <c r="B80" s="1">
        <v>9.1846150000000009</v>
      </c>
      <c r="C80" s="59">
        <v>18.799999</v>
      </c>
    </row>
    <row r="81" spans="1:3" x14ac:dyDescent="0.4">
      <c r="A81" s="7">
        <v>44409</v>
      </c>
      <c r="B81" s="1">
        <v>10.392307000000001</v>
      </c>
      <c r="C81" s="59">
        <v>18</v>
      </c>
    </row>
    <row r="82" spans="1:3" x14ac:dyDescent="0.4">
      <c r="A82" s="7">
        <v>44440</v>
      </c>
      <c r="B82" s="1">
        <v>10.792306999999999</v>
      </c>
      <c r="C82" s="59">
        <v>16.899999999999999</v>
      </c>
    </row>
    <row r="83" spans="1:3" x14ac:dyDescent="0.4">
      <c r="A83" s="7">
        <v>44470</v>
      </c>
      <c r="B83" s="1">
        <v>9.9076920000000008</v>
      </c>
      <c r="C83" s="59">
        <v>14.9</v>
      </c>
    </row>
    <row r="84" spans="1:3" x14ac:dyDescent="0.4">
      <c r="A84" s="7">
        <v>44501</v>
      </c>
      <c r="B84" s="1">
        <v>10.107692</v>
      </c>
      <c r="C84" s="59">
        <v>13.7</v>
      </c>
    </row>
    <row r="85" spans="1:3" x14ac:dyDescent="0.4">
      <c r="A85" s="7">
        <v>44531</v>
      </c>
      <c r="B85" s="1">
        <v>10.084614999999999</v>
      </c>
      <c r="C85" s="59">
        <v>12.8</v>
      </c>
    </row>
    <row r="86" spans="1:3" x14ac:dyDescent="0.4">
      <c r="A86" s="7">
        <v>44562</v>
      </c>
      <c r="B86" s="1">
        <v>10.1</v>
      </c>
      <c r="C86" s="59">
        <v>17.5</v>
      </c>
    </row>
    <row r="87" spans="1:3" x14ac:dyDescent="0.4">
      <c r="A87" s="7">
        <v>44593</v>
      </c>
      <c r="B87" s="1">
        <v>9.8461529999999993</v>
      </c>
      <c r="C87" s="59">
        <v>13.4</v>
      </c>
    </row>
    <row r="88" spans="1:3" x14ac:dyDescent="0.4">
      <c r="A88" s="7">
        <v>44621</v>
      </c>
      <c r="B88" s="1">
        <v>11.7</v>
      </c>
      <c r="C88" s="59">
        <v>13.9</v>
      </c>
    </row>
    <row r="89" spans="1:3" x14ac:dyDescent="0.4">
      <c r="A89" s="7">
        <v>44652</v>
      </c>
      <c r="B89" s="1">
        <v>11.284615000000001</v>
      </c>
      <c r="C89" s="59">
        <v>13.7</v>
      </c>
    </row>
    <row r="90" spans="1:3" x14ac:dyDescent="0.4">
      <c r="A90" s="7">
        <v>44682</v>
      </c>
      <c r="B90" s="1">
        <v>11.65</v>
      </c>
      <c r="C90" s="59">
        <v>13.1</v>
      </c>
    </row>
    <row r="91" spans="1:3" x14ac:dyDescent="0.4">
      <c r="A91" s="7">
        <v>44713</v>
      </c>
      <c r="B91" s="1">
        <v>10.38</v>
      </c>
      <c r="C91" s="59">
        <v>11</v>
      </c>
    </row>
    <row r="92" spans="1:3" x14ac:dyDescent="0.4">
      <c r="A92" s="7">
        <v>44743</v>
      </c>
      <c r="B92" s="1">
        <v>11.24</v>
      </c>
      <c r="C92" s="59">
        <v>9.6</v>
      </c>
    </row>
    <row r="93" spans="1:3" x14ac:dyDescent="0.4">
      <c r="A93" s="7">
        <v>44774</v>
      </c>
      <c r="B93" s="1">
        <v>12.1</v>
      </c>
      <c r="C93" s="59">
        <v>10.4</v>
      </c>
    </row>
    <row r="94" spans="1:3" x14ac:dyDescent="0.4">
      <c r="A94" s="7">
        <v>44805</v>
      </c>
      <c r="B94" s="1">
        <v>10.76</v>
      </c>
      <c r="C94" s="59">
        <v>8.3000000000000007</v>
      </c>
    </row>
    <row r="95" spans="1:3" x14ac:dyDescent="0.4">
      <c r="A95" s="7">
        <v>44835</v>
      </c>
      <c r="B95" s="1">
        <v>11.37</v>
      </c>
      <c r="C95" s="59">
        <v>6.3</v>
      </c>
    </row>
    <row r="96" spans="1:3" x14ac:dyDescent="0.4">
      <c r="A96" s="7">
        <v>44866</v>
      </c>
      <c r="B96" s="1">
        <v>11.48</v>
      </c>
      <c r="C96" s="59">
        <v>5.2</v>
      </c>
    </row>
    <row r="97" spans="1:3" x14ac:dyDescent="0.4">
      <c r="A97" s="7">
        <v>44896</v>
      </c>
      <c r="B97" s="1">
        <v>11.14</v>
      </c>
      <c r="C97" s="59">
        <v>5.0999999999999996</v>
      </c>
    </row>
    <row r="98" spans="1:3" ht="16.5" thickBot="1" x14ac:dyDescent="0.45">
      <c r="A98" s="8">
        <v>44927</v>
      </c>
      <c r="B98" s="9">
        <v>11.46</v>
      </c>
      <c r="C98" s="60">
        <v>5.2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7682-6E7E-45AC-B723-90F73C070C95}">
  <dimension ref="A1:I143"/>
  <sheetViews>
    <sheetView topLeftCell="A106" zoomScale="134" zoomScaleNormal="204" workbookViewId="0">
      <selection activeCell="C108" sqref="C108"/>
    </sheetView>
  </sheetViews>
  <sheetFormatPr baseColWidth="10" defaultRowHeight="16" x14ac:dyDescent="0.4"/>
  <cols>
    <col min="1" max="1" width="12.33203125" customWidth="1"/>
    <col min="2" max="2" width="17" customWidth="1"/>
    <col min="3" max="3" width="18.4140625" bestFit="1" customWidth="1"/>
    <col min="4" max="4" width="13.6640625" bestFit="1" customWidth="1"/>
    <col min="6" max="6" width="12.75" customWidth="1"/>
    <col min="7" max="7" width="16" customWidth="1"/>
    <col min="8" max="8" width="18.4140625" bestFit="1" customWidth="1"/>
    <col min="9" max="9" width="13.6640625" bestFit="1" customWidth="1"/>
  </cols>
  <sheetData>
    <row r="1" spans="1:9" ht="16.5" thickBot="1" x14ac:dyDescent="0.45"/>
    <row r="2" spans="1:9" ht="19" thickBot="1" x14ac:dyDescent="0.5">
      <c r="A2" s="33" t="s">
        <v>0</v>
      </c>
      <c r="B2" s="34" t="s">
        <v>1</v>
      </c>
      <c r="C2" s="33" t="s">
        <v>3</v>
      </c>
      <c r="D2" s="33" t="s">
        <v>7</v>
      </c>
      <c r="F2" s="33" t="s">
        <v>0</v>
      </c>
      <c r="G2" s="34" t="s">
        <v>2</v>
      </c>
      <c r="H2" s="33" t="s">
        <v>3</v>
      </c>
      <c r="I2" s="33" t="s">
        <v>7</v>
      </c>
    </row>
    <row r="3" spans="1:9" x14ac:dyDescent="0.4">
      <c r="A3" s="39">
        <v>42005</v>
      </c>
      <c r="B3" s="45">
        <v>7.6505200000000002</v>
      </c>
      <c r="C3" s="44"/>
      <c r="D3" s="17"/>
      <c r="F3" s="39">
        <v>42005</v>
      </c>
      <c r="G3" s="45">
        <v>50.099997999999999</v>
      </c>
      <c r="H3" s="44"/>
      <c r="I3" s="17"/>
    </row>
    <row r="4" spans="1:9" x14ac:dyDescent="0.4">
      <c r="A4" s="40">
        <v>42036</v>
      </c>
      <c r="B4" s="46">
        <v>8.337847</v>
      </c>
      <c r="C4" s="5">
        <f>(B4-B3)/B3</f>
        <v>8.9840559857369148E-2</v>
      </c>
      <c r="D4" s="13">
        <f>LN(B4/B3)</f>
        <v>8.6031410181556578E-2</v>
      </c>
      <c r="F4" s="40">
        <v>42036</v>
      </c>
      <c r="G4" s="46">
        <v>59.5</v>
      </c>
      <c r="H4" s="3">
        <f>(G4-G3)/G3</f>
        <v>0.18762479790917358</v>
      </c>
      <c r="I4" s="13">
        <f>LN(G4/G3)</f>
        <v>0.1719553443809255</v>
      </c>
    </row>
    <row r="5" spans="1:9" x14ac:dyDescent="0.4">
      <c r="A5" s="40">
        <v>42064</v>
      </c>
      <c r="B5" s="46">
        <v>8.2350689999999993</v>
      </c>
      <c r="C5" s="5">
        <f t="shared" ref="C5:C68" si="0">(B5-B4)/B4</f>
        <v>-1.2326683375216732E-2</v>
      </c>
      <c r="D5" s="13">
        <f t="shared" ref="D5:D68" si="1">LN(B5/B4)</f>
        <v>-1.2403287100917419E-2</v>
      </c>
      <c r="F5" s="40">
        <v>42064</v>
      </c>
      <c r="G5" s="46">
        <v>51.099997999999999</v>
      </c>
      <c r="H5" s="3">
        <f t="shared" ref="H5:H68" si="2">(G5-G4)/G4</f>
        <v>-0.14117650420168068</v>
      </c>
      <c r="I5" s="13">
        <f t="shared" ref="I5:I68" si="3">LN(G5/G4)</f>
        <v>-0.15219185448086939</v>
      </c>
    </row>
    <row r="6" spans="1:9" x14ac:dyDescent="0.4">
      <c r="A6" s="40">
        <v>42095</v>
      </c>
      <c r="B6" s="46">
        <v>9.3463539999999998</v>
      </c>
      <c r="C6" s="5">
        <f t="shared" si="0"/>
        <v>0.1349454388299601</v>
      </c>
      <c r="D6" s="13">
        <f t="shared" si="1"/>
        <v>0.12658457826243993</v>
      </c>
      <c r="F6" s="40">
        <v>42095</v>
      </c>
      <c r="G6" s="46">
        <v>56.700001</v>
      </c>
      <c r="H6" s="3">
        <f t="shared" si="2"/>
        <v>0.10958910409350703</v>
      </c>
      <c r="I6" s="13">
        <f t="shared" si="3"/>
        <v>0.10398977029967586</v>
      </c>
    </row>
    <row r="7" spans="1:9" x14ac:dyDescent="0.4">
      <c r="A7" s="40">
        <v>42125</v>
      </c>
      <c r="B7" s="46">
        <v>9.1086799999999997</v>
      </c>
      <c r="C7" s="5">
        <f t="shared" si="0"/>
        <v>-2.5429595326691045E-2</v>
      </c>
      <c r="D7" s="13">
        <f t="shared" si="1"/>
        <v>-2.5758515673137045E-2</v>
      </c>
      <c r="F7" s="40">
        <v>42125</v>
      </c>
      <c r="G7" s="46">
        <v>70.800003000000004</v>
      </c>
      <c r="H7" s="3">
        <f t="shared" si="2"/>
        <v>0.24867727956477467</v>
      </c>
      <c r="I7" s="13">
        <f t="shared" si="3"/>
        <v>0.22208481470216407</v>
      </c>
    </row>
    <row r="8" spans="1:9" x14ac:dyDescent="0.4">
      <c r="A8" s="40">
        <v>42156</v>
      </c>
      <c r="B8" s="46">
        <v>7.6184019999999997</v>
      </c>
      <c r="C8" s="5">
        <f t="shared" si="0"/>
        <v>-0.16361075369866984</v>
      </c>
      <c r="D8" s="13">
        <f t="shared" si="1"/>
        <v>-0.17866116863449888</v>
      </c>
      <c r="F8" s="40">
        <v>42156</v>
      </c>
      <c r="G8" s="46">
        <v>58.799999</v>
      </c>
      <c r="H8" s="3">
        <f t="shared" si="2"/>
        <v>-0.16949157473905763</v>
      </c>
      <c r="I8" s="13">
        <f t="shared" si="3"/>
        <v>-0.18571720517477625</v>
      </c>
    </row>
    <row r="9" spans="1:9" x14ac:dyDescent="0.4">
      <c r="A9" s="40">
        <v>42186</v>
      </c>
      <c r="B9" s="46">
        <v>6.0638889999999996</v>
      </c>
      <c r="C9" s="5">
        <f t="shared" si="0"/>
        <v>-0.20404712169297448</v>
      </c>
      <c r="D9" s="13">
        <f t="shared" si="1"/>
        <v>-0.22821529299678295</v>
      </c>
      <c r="F9" s="40">
        <v>42186</v>
      </c>
      <c r="G9" s="46">
        <v>48.299999</v>
      </c>
      <c r="H9" s="3">
        <f t="shared" si="2"/>
        <v>-0.17857143160835767</v>
      </c>
      <c r="I9" s="13">
        <f t="shared" si="3"/>
        <v>-0.19671029794318529</v>
      </c>
    </row>
    <row r="10" spans="1:9" x14ac:dyDescent="0.4">
      <c r="A10" s="40">
        <v>42217</v>
      </c>
      <c r="B10" s="46">
        <v>4.8305550000000004</v>
      </c>
      <c r="C10" s="5">
        <f t="shared" si="0"/>
        <v>-0.20338993672212657</v>
      </c>
      <c r="D10" s="13">
        <f t="shared" si="1"/>
        <v>-0.22738997552770099</v>
      </c>
      <c r="F10" s="40">
        <v>42217</v>
      </c>
      <c r="G10" s="46">
        <v>27.200001</v>
      </c>
      <c r="H10" s="3">
        <f t="shared" si="2"/>
        <v>-0.4368529697071008</v>
      </c>
      <c r="I10" s="13">
        <f t="shared" si="3"/>
        <v>-0.57421452988793631</v>
      </c>
    </row>
    <row r="11" spans="1:9" x14ac:dyDescent="0.4">
      <c r="A11" s="40">
        <v>42248</v>
      </c>
      <c r="B11" s="46">
        <v>4.4901039999999997</v>
      </c>
      <c r="C11" s="5">
        <f t="shared" si="0"/>
        <v>-7.0478651003870296E-2</v>
      </c>
      <c r="D11" s="13">
        <f t="shared" si="1"/>
        <v>-7.3085503826061882E-2</v>
      </c>
      <c r="F11" s="40">
        <v>42248</v>
      </c>
      <c r="G11" s="46">
        <v>27.9</v>
      </c>
      <c r="H11" s="3">
        <f t="shared" si="2"/>
        <v>2.573525640679198E-2</v>
      </c>
      <c r="I11" s="13">
        <f t="shared" si="3"/>
        <v>2.5409678760663145E-2</v>
      </c>
    </row>
    <row r="12" spans="1:9" x14ac:dyDescent="0.4">
      <c r="A12" s="40">
        <v>42278</v>
      </c>
      <c r="B12" s="46">
        <v>4.5993050000000002</v>
      </c>
      <c r="C12" s="5">
        <f t="shared" si="0"/>
        <v>2.4320372089377117E-2</v>
      </c>
      <c r="D12" s="13">
        <f t="shared" si="1"/>
        <v>2.4029341054310444E-2</v>
      </c>
      <c r="F12" s="40">
        <v>42278</v>
      </c>
      <c r="G12" s="46">
        <v>21.200001</v>
      </c>
      <c r="H12" s="3">
        <f t="shared" si="2"/>
        <v>-0.24014333333333329</v>
      </c>
      <c r="I12" s="13">
        <f t="shared" si="3"/>
        <v>-0.27462545997954285</v>
      </c>
    </row>
    <row r="13" spans="1:9" x14ac:dyDescent="0.4">
      <c r="A13" s="40">
        <v>42309</v>
      </c>
      <c r="B13" s="46">
        <v>4.2395829999999997</v>
      </c>
      <c r="C13" s="5">
        <f t="shared" si="0"/>
        <v>-7.8212251633670848E-2</v>
      </c>
      <c r="D13" s="13">
        <f t="shared" si="1"/>
        <v>-8.1440289773066679E-2</v>
      </c>
      <c r="F13" s="40">
        <v>42309</v>
      </c>
      <c r="G13" s="46">
        <v>17.600000000000001</v>
      </c>
      <c r="H13" s="3">
        <f t="shared" si="2"/>
        <v>-0.16981135991455845</v>
      </c>
      <c r="I13" s="13">
        <f t="shared" si="3"/>
        <v>-0.18610232680367078</v>
      </c>
    </row>
    <row r="14" spans="1:9" x14ac:dyDescent="0.4">
      <c r="A14" s="40">
        <v>42339</v>
      </c>
      <c r="B14" s="46">
        <v>3.9376730000000002</v>
      </c>
      <c r="C14" s="5">
        <f t="shared" si="0"/>
        <v>-7.1212192331179619E-2</v>
      </c>
      <c r="D14" s="13">
        <f t="shared" si="1"/>
        <v>-7.3874975656169004E-2</v>
      </c>
      <c r="F14" s="40">
        <v>42339</v>
      </c>
      <c r="G14" s="46">
        <v>19.5</v>
      </c>
      <c r="H14" s="3">
        <f t="shared" si="2"/>
        <v>0.10795454545454536</v>
      </c>
      <c r="I14" s="13">
        <f t="shared" si="3"/>
        <v>0.10251556352559499</v>
      </c>
    </row>
    <row r="15" spans="1:9" x14ac:dyDescent="0.4">
      <c r="A15" s="40">
        <v>42370</v>
      </c>
      <c r="B15" s="46">
        <v>3.796354</v>
      </c>
      <c r="C15" s="5">
        <f t="shared" si="0"/>
        <v>-3.5888962846838776E-2</v>
      </c>
      <c r="D15" s="13">
        <f t="shared" si="1"/>
        <v>-3.6548807235892905E-2</v>
      </c>
      <c r="F15" s="40">
        <v>42370</v>
      </c>
      <c r="G15" s="46">
        <v>16.5</v>
      </c>
      <c r="H15" s="3">
        <f t="shared" si="2"/>
        <v>-0.15384615384615385</v>
      </c>
      <c r="I15" s="13">
        <f t="shared" si="3"/>
        <v>-0.16705408466316621</v>
      </c>
    </row>
    <row r="16" spans="1:9" x14ac:dyDescent="0.4">
      <c r="A16" s="40">
        <v>42401</v>
      </c>
      <c r="B16" s="46">
        <v>3.7706590000000002</v>
      </c>
      <c r="C16" s="5">
        <f t="shared" si="0"/>
        <v>-6.7683361456807771E-3</v>
      </c>
      <c r="D16" s="13">
        <f t="shared" si="1"/>
        <v>-6.7913452136128391E-3</v>
      </c>
      <c r="F16" s="40">
        <v>42401</v>
      </c>
      <c r="G16" s="46">
        <v>12.1</v>
      </c>
      <c r="H16" s="3">
        <f t="shared" si="2"/>
        <v>-0.26666666666666666</v>
      </c>
      <c r="I16" s="13">
        <f t="shared" si="3"/>
        <v>-0.31015492830383962</v>
      </c>
    </row>
    <row r="17" spans="1:9" x14ac:dyDescent="0.4">
      <c r="A17" s="40">
        <v>42430</v>
      </c>
      <c r="B17" s="46">
        <v>5.196701</v>
      </c>
      <c r="C17" s="5">
        <f t="shared" si="0"/>
        <v>0.37819436867666889</v>
      </c>
      <c r="D17" s="13">
        <f t="shared" si="1"/>
        <v>0.32077421393397881</v>
      </c>
      <c r="F17" s="40">
        <v>42430</v>
      </c>
      <c r="G17" s="46">
        <v>11.6</v>
      </c>
      <c r="H17" s="3">
        <f t="shared" si="2"/>
        <v>-4.1322314049586778E-2</v>
      </c>
      <c r="I17" s="13">
        <f t="shared" si="3"/>
        <v>-4.2200354490376416E-2</v>
      </c>
    </row>
    <row r="18" spans="1:9" x14ac:dyDescent="0.4">
      <c r="A18" s="40">
        <v>42461</v>
      </c>
      <c r="B18" s="46">
        <v>4.4001729999999997</v>
      </c>
      <c r="C18" s="5">
        <f t="shared" si="0"/>
        <v>-0.15327570318169167</v>
      </c>
      <c r="D18" s="13">
        <f t="shared" si="1"/>
        <v>-0.16638014284588681</v>
      </c>
      <c r="F18" s="40">
        <v>42461</v>
      </c>
      <c r="G18" s="46">
        <v>10.199999999999999</v>
      </c>
      <c r="H18" s="3">
        <f t="shared" si="2"/>
        <v>-0.12068965517241383</v>
      </c>
      <c r="I18" s="13">
        <f t="shared" si="3"/>
        <v>-0.12861737782209359</v>
      </c>
    </row>
    <row r="19" spans="1:9" x14ac:dyDescent="0.4">
      <c r="A19" s="40">
        <v>42491</v>
      </c>
      <c r="B19" s="46">
        <v>3.6164930000000002</v>
      </c>
      <c r="C19" s="5">
        <f t="shared" si="0"/>
        <v>-0.17810208825880244</v>
      </c>
      <c r="D19" s="13">
        <f t="shared" si="1"/>
        <v>-0.19613908660083684</v>
      </c>
      <c r="F19" s="40">
        <v>42491</v>
      </c>
      <c r="G19" s="46">
        <v>9.1</v>
      </c>
      <c r="H19" s="3">
        <f t="shared" si="2"/>
        <v>-0.10784313725490194</v>
      </c>
      <c r="I19" s="13">
        <f t="shared" si="3"/>
        <v>-0.11411330676742099</v>
      </c>
    </row>
    <row r="20" spans="1:9" x14ac:dyDescent="0.4">
      <c r="A20" s="40">
        <v>42522</v>
      </c>
      <c r="B20" s="46">
        <v>4.6763880000000002</v>
      </c>
      <c r="C20" s="5">
        <f t="shared" si="0"/>
        <v>0.29307259823259718</v>
      </c>
      <c r="D20" s="13">
        <f t="shared" si="1"/>
        <v>0.25702124533850812</v>
      </c>
      <c r="F20" s="40">
        <v>42522</v>
      </c>
      <c r="G20" s="46">
        <v>13.2</v>
      </c>
      <c r="H20" s="3">
        <f t="shared" si="2"/>
        <v>0.4505494505494505</v>
      </c>
      <c r="I20" s="13">
        <f t="shared" si="3"/>
        <v>0.37194241606952078</v>
      </c>
    </row>
    <row r="21" spans="1:9" x14ac:dyDescent="0.4">
      <c r="A21" s="40">
        <v>42552</v>
      </c>
      <c r="B21" s="46">
        <v>5.8390620000000002</v>
      </c>
      <c r="C21" s="5">
        <f t="shared" si="0"/>
        <v>0.24862650404542991</v>
      </c>
      <c r="D21" s="13">
        <f t="shared" si="1"/>
        <v>0.22204415043081263</v>
      </c>
      <c r="F21" s="40">
        <v>42552</v>
      </c>
      <c r="G21" s="46">
        <v>24.799999</v>
      </c>
      <c r="H21" s="3">
        <f t="shared" si="2"/>
        <v>0.87878780303030313</v>
      </c>
      <c r="I21" s="13">
        <f t="shared" si="3"/>
        <v>0.63062678325602994</v>
      </c>
    </row>
    <row r="22" spans="1:9" x14ac:dyDescent="0.4">
      <c r="A22" s="40">
        <v>42583</v>
      </c>
      <c r="B22" s="46">
        <v>5.6206589999999998</v>
      </c>
      <c r="C22" s="5">
        <f t="shared" si="0"/>
        <v>-3.740378163479003E-2</v>
      </c>
      <c r="D22" s="13">
        <f t="shared" si="1"/>
        <v>-3.8121250683892959E-2</v>
      </c>
      <c r="F22" s="40">
        <v>42583</v>
      </c>
      <c r="G22" s="46">
        <v>25.200001</v>
      </c>
      <c r="H22" s="3">
        <f t="shared" si="2"/>
        <v>1.6129113553593314E-2</v>
      </c>
      <c r="I22" s="13">
        <f t="shared" si="3"/>
        <v>1.6000421351561454E-2</v>
      </c>
    </row>
    <row r="23" spans="1:9" x14ac:dyDescent="0.4">
      <c r="A23" s="40">
        <v>42614</v>
      </c>
      <c r="B23" s="46">
        <v>5.5114580000000002</v>
      </c>
      <c r="C23" s="5">
        <f t="shared" si="0"/>
        <v>-1.9428504735832519E-2</v>
      </c>
      <c r="D23" s="13">
        <f t="shared" si="1"/>
        <v>-1.9619718855497591E-2</v>
      </c>
      <c r="F23" s="40">
        <v>42614</v>
      </c>
      <c r="G23" s="46">
        <v>28.799999</v>
      </c>
      <c r="H23" s="3">
        <f t="shared" si="2"/>
        <v>0.1428570578231326</v>
      </c>
      <c r="I23" s="13">
        <f t="shared" si="3"/>
        <v>0.1335313182197608</v>
      </c>
    </row>
    <row r="24" spans="1:9" x14ac:dyDescent="0.4">
      <c r="A24" s="40">
        <v>42644</v>
      </c>
      <c r="B24" s="46">
        <v>6.26302</v>
      </c>
      <c r="C24" s="5">
        <f t="shared" si="0"/>
        <v>0.13636355389082161</v>
      </c>
      <c r="D24" s="13">
        <f t="shared" si="1"/>
        <v>0.12783329893380532</v>
      </c>
      <c r="F24" s="40">
        <v>42644</v>
      </c>
      <c r="G24" s="46">
        <v>27.299999</v>
      </c>
      <c r="H24" s="3">
        <f t="shared" si="2"/>
        <v>-5.2083335141782469E-2</v>
      </c>
      <c r="I24" s="13">
        <f t="shared" si="3"/>
        <v>-5.3488686858800628E-2</v>
      </c>
    </row>
    <row r="25" spans="1:9" x14ac:dyDescent="0.4">
      <c r="A25" s="40">
        <v>42675</v>
      </c>
      <c r="B25" s="46">
        <v>5.0746520000000004</v>
      </c>
      <c r="C25" s="5">
        <f t="shared" si="0"/>
        <v>-0.18974360611973132</v>
      </c>
      <c r="D25" s="13">
        <f t="shared" si="1"/>
        <v>-0.21040454574784098</v>
      </c>
      <c r="F25" s="40">
        <v>42675</v>
      </c>
      <c r="G25" s="46">
        <v>22.1</v>
      </c>
      <c r="H25" s="3">
        <f t="shared" si="2"/>
        <v>-0.19047616082330254</v>
      </c>
      <c r="I25" s="13">
        <f t="shared" si="3"/>
        <v>-0.21130905703716954</v>
      </c>
    </row>
    <row r="26" spans="1:9" x14ac:dyDescent="0.4">
      <c r="A26" s="40">
        <v>42705</v>
      </c>
      <c r="B26" s="46">
        <v>4.952604</v>
      </c>
      <c r="C26" s="5">
        <f t="shared" si="0"/>
        <v>-2.4050516173325851E-2</v>
      </c>
      <c r="D26" s="13">
        <f t="shared" si="1"/>
        <v>-2.4344452282864741E-2</v>
      </c>
      <c r="F26" s="40">
        <v>42705</v>
      </c>
      <c r="G26" s="46">
        <v>22.5</v>
      </c>
      <c r="H26" s="3">
        <f t="shared" si="2"/>
        <v>1.8099547511312153E-2</v>
      </c>
      <c r="I26" s="13">
        <f t="shared" si="3"/>
        <v>1.7937700686667252E-2</v>
      </c>
    </row>
    <row r="27" spans="1:9" x14ac:dyDescent="0.4">
      <c r="A27" s="40">
        <v>42736</v>
      </c>
      <c r="B27" s="46">
        <v>5.8711799999999998</v>
      </c>
      <c r="C27" s="5">
        <f t="shared" si="0"/>
        <v>0.18547333887385301</v>
      </c>
      <c r="D27" s="13">
        <f t="shared" si="1"/>
        <v>0.17014213691898128</v>
      </c>
      <c r="F27" s="40">
        <v>42736</v>
      </c>
      <c r="G27" s="46">
        <v>32</v>
      </c>
      <c r="H27" s="3">
        <f t="shared" si="2"/>
        <v>0.42222222222222222</v>
      </c>
      <c r="I27" s="13">
        <f t="shared" si="3"/>
        <v>0.35222059358935215</v>
      </c>
    </row>
    <row r="28" spans="1:9" x14ac:dyDescent="0.4">
      <c r="A28" s="40">
        <v>42767</v>
      </c>
      <c r="B28" s="46">
        <v>6.8668399999999998</v>
      </c>
      <c r="C28" s="5">
        <f t="shared" si="0"/>
        <v>0.16958430843544228</v>
      </c>
      <c r="D28" s="13">
        <f t="shared" si="1"/>
        <v>0.15664839374301182</v>
      </c>
      <c r="F28" s="40">
        <v>42767</v>
      </c>
      <c r="G28" s="46">
        <v>34.400002000000001</v>
      </c>
      <c r="H28" s="3">
        <f t="shared" si="2"/>
        <v>7.500006250000002E-2</v>
      </c>
      <c r="I28" s="13">
        <f t="shared" si="3"/>
        <v>7.2320719719159335E-2</v>
      </c>
    </row>
    <row r="29" spans="1:9" x14ac:dyDescent="0.4">
      <c r="A29" s="40">
        <v>42795</v>
      </c>
      <c r="B29" s="46">
        <v>6.6291659999999997</v>
      </c>
      <c r="C29" s="5">
        <f t="shared" si="0"/>
        <v>-3.4611844749550036E-2</v>
      </c>
      <c r="D29" s="13">
        <f t="shared" si="1"/>
        <v>-3.5225025097171729E-2</v>
      </c>
      <c r="F29" s="40">
        <v>42795</v>
      </c>
      <c r="G29" s="46">
        <v>39.200001</v>
      </c>
      <c r="H29" s="3">
        <f t="shared" si="2"/>
        <v>0.13953484653867171</v>
      </c>
      <c r="I29" s="13">
        <f t="shared" si="3"/>
        <v>0.1306201497877347</v>
      </c>
    </row>
    <row r="30" spans="1:9" x14ac:dyDescent="0.4">
      <c r="A30" s="40">
        <v>42826</v>
      </c>
      <c r="B30" s="46">
        <v>5.7041659999999998</v>
      </c>
      <c r="C30" s="5">
        <f t="shared" si="0"/>
        <v>-0.13953489775335237</v>
      </c>
      <c r="D30" s="13">
        <f t="shared" si="1"/>
        <v>-0.15028221935728817</v>
      </c>
      <c r="F30" s="40">
        <v>42826</v>
      </c>
      <c r="G30" s="46">
        <v>34</v>
      </c>
      <c r="H30" s="3">
        <f t="shared" si="2"/>
        <v>-0.13265308335068665</v>
      </c>
      <c r="I30" s="13">
        <f t="shared" si="3"/>
        <v>-0.14231624769045928</v>
      </c>
    </row>
    <row r="31" spans="1:9" x14ac:dyDescent="0.4">
      <c r="A31" s="40">
        <v>42856</v>
      </c>
      <c r="B31" s="46">
        <v>4.9076380000000004</v>
      </c>
      <c r="C31" s="5">
        <f t="shared" si="0"/>
        <v>-0.13963969491771444</v>
      </c>
      <c r="D31" s="13">
        <f t="shared" si="1"/>
        <v>-0.15040401807556056</v>
      </c>
      <c r="F31" s="40">
        <v>42856</v>
      </c>
      <c r="G31" s="46">
        <v>35.5</v>
      </c>
      <c r="H31" s="3">
        <f t="shared" si="2"/>
        <v>4.4117647058823532E-2</v>
      </c>
      <c r="I31" s="13">
        <f t="shared" si="3"/>
        <v>4.3172171865208782E-2</v>
      </c>
    </row>
    <row r="32" spans="1:9" x14ac:dyDescent="0.4">
      <c r="A32" s="40">
        <v>42887</v>
      </c>
      <c r="B32" s="46">
        <v>5.190277</v>
      </c>
      <c r="C32" s="5">
        <f t="shared" si="0"/>
        <v>5.7591656108294788E-2</v>
      </c>
      <c r="D32" s="13">
        <f t="shared" si="1"/>
        <v>5.5994300625288741E-2</v>
      </c>
      <c r="F32" s="40">
        <v>42887</v>
      </c>
      <c r="G32" s="46">
        <v>34.200001</v>
      </c>
      <c r="H32" s="3">
        <f t="shared" si="2"/>
        <v>-3.6619690140845061E-2</v>
      </c>
      <c r="I32" s="13">
        <f t="shared" si="3"/>
        <v>-3.7307023173045017E-2</v>
      </c>
    </row>
    <row r="33" spans="1:9" x14ac:dyDescent="0.4">
      <c r="A33" s="40">
        <v>42917</v>
      </c>
      <c r="B33" s="46">
        <v>5.4729159999999997</v>
      </c>
      <c r="C33" s="5">
        <f t="shared" si="0"/>
        <v>5.4455475112407226E-2</v>
      </c>
      <c r="D33" s="13">
        <f t="shared" si="1"/>
        <v>5.3024496349094521E-2</v>
      </c>
      <c r="F33" s="40">
        <v>42917</v>
      </c>
      <c r="G33" s="46">
        <v>34.099997999999999</v>
      </c>
      <c r="H33" s="3">
        <f t="shared" si="2"/>
        <v>-2.9240642419864535E-3</v>
      </c>
      <c r="I33" s="13">
        <f t="shared" si="3"/>
        <v>-2.9283476698821389E-3</v>
      </c>
    </row>
    <row r="34" spans="1:9" x14ac:dyDescent="0.4">
      <c r="A34" s="40">
        <v>42948</v>
      </c>
      <c r="B34" s="46">
        <v>5.3829859999999998</v>
      </c>
      <c r="C34" s="5">
        <f t="shared" si="0"/>
        <v>-1.6431825374261154E-2</v>
      </c>
      <c r="D34" s="13">
        <f t="shared" si="1"/>
        <v>-1.6568325176438865E-2</v>
      </c>
      <c r="F34" s="40">
        <v>42948</v>
      </c>
      <c r="G34" s="46">
        <v>37</v>
      </c>
      <c r="H34" s="3">
        <f t="shared" si="2"/>
        <v>8.5044051908742063E-2</v>
      </c>
      <c r="I34" s="13">
        <f t="shared" si="3"/>
        <v>8.1620587005781495E-2</v>
      </c>
    </row>
    <row r="35" spans="1:9" x14ac:dyDescent="0.4">
      <c r="A35" s="40">
        <v>42979</v>
      </c>
      <c r="B35" s="46">
        <v>5.1260409999999998</v>
      </c>
      <c r="C35" s="5">
        <f t="shared" si="0"/>
        <v>-4.773280108846651E-2</v>
      </c>
      <c r="D35" s="13">
        <f t="shared" si="1"/>
        <v>-4.8909612445983235E-2</v>
      </c>
      <c r="F35" s="40">
        <v>42979</v>
      </c>
      <c r="G35" s="46">
        <v>35.799999</v>
      </c>
      <c r="H35" s="3">
        <f t="shared" si="2"/>
        <v>-3.2432459459459467E-2</v>
      </c>
      <c r="I35" s="13">
        <f t="shared" si="3"/>
        <v>-3.297004717053114E-2</v>
      </c>
    </row>
    <row r="36" spans="1:9" x14ac:dyDescent="0.4">
      <c r="A36" s="40">
        <v>43009</v>
      </c>
      <c r="B36" s="46">
        <v>5.1223340000000004</v>
      </c>
      <c r="C36" s="5">
        <f t="shared" si="0"/>
        <v>-7.2317018143231023E-4</v>
      </c>
      <c r="D36" s="13">
        <f t="shared" si="1"/>
        <v>-7.2343179512304929E-4</v>
      </c>
      <c r="F36" s="40">
        <v>43009</v>
      </c>
      <c r="G36" s="46">
        <v>38.200001</v>
      </c>
      <c r="H36" s="3">
        <f t="shared" si="2"/>
        <v>6.7039163883775552E-2</v>
      </c>
      <c r="I36" s="13">
        <f t="shared" si="3"/>
        <v>6.4887676316846277E-2</v>
      </c>
    </row>
    <row r="37" spans="1:9" x14ac:dyDescent="0.4">
      <c r="A37" s="40">
        <v>43040</v>
      </c>
      <c r="B37" s="46">
        <v>4.3735330000000001</v>
      </c>
      <c r="C37" s="5">
        <f t="shared" si="0"/>
        <v>-0.14618355616795004</v>
      </c>
      <c r="D37" s="13">
        <f t="shared" si="1"/>
        <v>-0.15803904526063978</v>
      </c>
      <c r="F37" s="40">
        <v>43040</v>
      </c>
      <c r="G37" s="46">
        <v>38.799999</v>
      </c>
      <c r="H37" s="3">
        <f t="shared" si="2"/>
        <v>1.5706753515529998E-2</v>
      </c>
      <c r="I37" s="13">
        <f t="shared" si="3"/>
        <v>1.558467906549188E-2</v>
      </c>
    </row>
    <row r="38" spans="1:9" x14ac:dyDescent="0.4">
      <c r="A38" s="40">
        <v>43070</v>
      </c>
      <c r="B38" s="46">
        <v>4.5524500000000003</v>
      </c>
      <c r="C38" s="5">
        <f t="shared" si="0"/>
        <v>4.0909031668447504E-2</v>
      </c>
      <c r="D38" s="13">
        <f t="shared" si="1"/>
        <v>4.009440028946798E-2</v>
      </c>
      <c r="F38" s="40">
        <v>43070</v>
      </c>
      <c r="G38" s="46">
        <v>34.700001</v>
      </c>
      <c r="H38" s="3">
        <f t="shared" si="2"/>
        <v>-0.10567005426984674</v>
      </c>
      <c r="I38" s="13">
        <f t="shared" si="3"/>
        <v>-0.11168050508477466</v>
      </c>
    </row>
    <row r="39" spans="1:9" x14ac:dyDescent="0.4">
      <c r="A39" s="40">
        <v>43101</v>
      </c>
      <c r="B39" s="46">
        <v>4.9699229999999996</v>
      </c>
      <c r="C39" s="5">
        <f t="shared" si="0"/>
        <v>9.1702929191973398E-2</v>
      </c>
      <c r="D39" s="13">
        <f t="shared" si="1"/>
        <v>8.7738797447847516E-2</v>
      </c>
      <c r="F39" s="40">
        <v>43101</v>
      </c>
      <c r="G39" s="46">
        <v>36</v>
      </c>
      <c r="H39" s="3">
        <f t="shared" si="2"/>
        <v>3.7463947047148491E-2</v>
      </c>
      <c r="I39" s="13">
        <f t="shared" si="3"/>
        <v>3.6779222684853112E-2</v>
      </c>
    </row>
    <row r="40" spans="1:9" x14ac:dyDescent="0.4">
      <c r="A40" s="40">
        <v>43132</v>
      </c>
      <c r="B40" s="46">
        <v>5.44041</v>
      </c>
      <c r="C40" s="5">
        <f t="shared" si="0"/>
        <v>9.4666859023771671E-2</v>
      </c>
      <c r="D40" s="13">
        <f t="shared" si="1"/>
        <v>9.0450078644137885E-2</v>
      </c>
      <c r="F40" s="40">
        <v>43132</v>
      </c>
      <c r="G40" s="46">
        <v>38</v>
      </c>
      <c r="H40" s="3">
        <f t="shared" si="2"/>
        <v>5.5555555555555552E-2</v>
      </c>
      <c r="I40" s="13">
        <f t="shared" si="3"/>
        <v>5.4067221270275793E-2</v>
      </c>
    </row>
    <row r="41" spans="1:9" x14ac:dyDescent="0.4">
      <c r="A41" s="40">
        <v>43160</v>
      </c>
      <c r="B41" s="46">
        <v>5.672339</v>
      </c>
      <c r="C41" s="5">
        <f t="shared" si="0"/>
        <v>4.2630794370277253E-2</v>
      </c>
      <c r="D41" s="13">
        <f t="shared" si="1"/>
        <v>4.1747129046778297E-2</v>
      </c>
      <c r="F41" s="40">
        <v>43160</v>
      </c>
      <c r="G41" s="46">
        <v>35.200001</v>
      </c>
      <c r="H41" s="3">
        <f t="shared" si="2"/>
        <v>-7.3684184210526305E-2</v>
      </c>
      <c r="I41" s="13">
        <f t="shared" si="3"/>
        <v>-7.6540048713243908E-2</v>
      </c>
    </row>
    <row r="42" spans="1:9" x14ac:dyDescent="0.4">
      <c r="A42" s="40">
        <v>43191</v>
      </c>
      <c r="B42" s="46">
        <v>5.6060739999999996</v>
      </c>
      <c r="C42" s="5">
        <f t="shared" si="0"/>
        <v>-1.1682129717564564E-2</v>
      </c>
      <c r="D42" s="13">
        <f t="shared" si="1"/>
        <v>-1.1750901923510325E-2</v>
      </c>
      <c r="F42" s="40">
        <v>43191</v>
      </c>
      <c r="G42" s="46">
        <v>32.799999</v>
      </c>
      <c r="H42" s="3">
        <f t="shared" si="2"/>
        <v>-6.8181873063014986E-2</v>
      </c>
      <c r="I42" s="13">
        <f t="shared" si="3"/>
        <v>-7.0617626110849291E-2</v>
      </c>
    </row>
    <row r="43" spans="1:9" x14ac:dyDescent="0.4">
      <c r="A43" s="40">
        <v>43221</v>
      </c>
      <c r="B43" s="46">
        <v>5.0825750000000003</v>
      </c>
      <c r="C43" s="5">
        <f t="shared" si="0"/>
        <v>-9.3380679598592406E-2</v>
      </c>
      <c r="D43" s="13">
        <f t="shared" si="1"/>
        <v>-9.8032629869229351E-2</v>
      </c>
      <c r="F43" s="40">
        <v>43221</v>
      </c>
      <c r="G43" s="46">
        <v>29</v>
      </c>
      <c r="H43" s="3">
        <f t="shared" si="2"/>
        <v>-0.11585363158090339</v>
      </c>
      <c r="I43" s="13">
        <f t="shared" si="3"/>
        <v>-0.12313265491581861</v>
      </c>
    </row>
    <row r="44" spans="1:9" x14ac:dyDescent="0.4">
      <c r="A44" s="40">
        <v>43252</v>
      </c>
      <c r="B44" s="46">
        <v>4.8373920000000004</v>
      </c>
      <c r="C44" s="5">
        <f t="shared" si="0"/>
        <v>-4.8239917758222929E-2</v>
      </c>
      <c r="D44" s="13">
        <f t="shared" si="1"/>
        <v>-4.9442290403664796E-2</v>
      </c>
      <c r="F44" s="40">
        <v>43252</v>
      </c>
      <c r="G44" s="46">
        <v>28.9</v>
      </c>
      <c r="H44" s="3">
        <f t="shared" si="2"/>
        <v>-3.4482758620690145E-3</v>
      </c>
      <c r="I44" s="13">
        <f t="shared" si="3"/>
        <v>-3.4542348680875576E-3</v>
      </c>
    </row>
    <row r="45" spans="1:9" x14ac:dyDescent="0.4">
      <c r="A45" s="40">
        <v>43282</v>
      </c>
      <c r="B45" s="46">
        <v>5.4536629999999997</v>
      </c>
      <c r="C45" s="5">
        <f t="shared" si="0"/>
        <v>0.12739736618409245</v>
      </c>
      <c r="D45" s="13">
        <f t="shared" si="1"/>
        <v>0.11991176047677612</v>
      </c>
      <c r="F45" s="40">
        <v>43282</v>
      </c>
      <c r="G45" s="46">
        <v>27.5</v>
      </c>
      <c r="H45" s="3">
        <f t="shared" si="2"/>
        <v>-4.8442906574394415E-2</v>
      </c>
      <c r="I45" s="13">
        <f t="shared" si="3"/>
        <v>-4.9655590445860834E-2</v>
      </c>
    </row>
    <row r="46" spans="1:9" x14ac:dyDescent="0.4">
      <c r="A46" s="40">
        <v>43313</v>
      </c>
      <c r="B46" s="46">
        <v>4.9434170000000002</v>
      </c>
      <c r="C46" s="5">
        <f t="shared" si="0"/>
        <v>-9.3560236486926227E-2</v>
      </c>
      <c r="D46" s="13">
        <f t="shared" si="1"/>
        <v>-9.8230700511839825E-2</v>
      </c>
      <c r="F46" s="40">
        <v>43313</v>
      </c>
      <c r="G46" s="46">
        <v>25.6</v>
      </c>
      <c r="H46" s="3">
        <f t="shared" si="2"/>
        <v>-6.9090909090909036E-2</v>
      </c>
      <c r="I46" s="13">
        <f t="shared" si="3"/>
        <v>-7.1593653187008818E-2</v>
      </c>
    </row>
    <row r="47" spans="1:9" x14ac:dyDescent="0.4">
      <c r="A47" s="40">
        <v>43344</v>
      </c>
      <c r="B47" s="46">
        <v>4.7446200000000003</v>
      </c>
      <c r="C47" s="5">
        <f t="shared" si="0"/>
        <v>-4.021449131238572E-2</v>
      </c>
      <c r="D47" s="13">
        <f t="shared" si="1"/>
        <v>-4.1045447934511668E-2</v>
      </c>
      <c r="F47" s="40">
        <v>43344</v>
      </c>
      <c r="G47" s="46">
        <v>20.100000000000001</v>
      </c>
      <c r="H47" s="3">
        <f t="shared" si="2"/>
        <v>-0.21484375</v>
      </c>
      <c r="I47" s="13">
        <f t="shared" si="3"/>
        <v>-0.24187253642048673</v>
      </c>
    </row>
    <row r="48" spans="1:9" x14ac:dyDescent="0.4">
      <c r="A48" s="40">
        <v>43374</v>
      </c>
      <c r="B48" s="46">
        <v>7.3091010000000001</v>
      </c>
      <c r="C48" s="5">
        <f t="shared" si="0"/>
        <v>0.540502927526335</v>
      </c>
      <c r="D48" s="13">
        <f t="shared" si="1"/>
        <v>0.43210893942690198</v>
      </c>
      <c r="F48" s="40">
        <v>43374</v>
      </c>
      <c r="G48" s="46">
        <v>24.1</v>
      </c>
      <c r="H48" s="3">
        <f t="shared" si="2"/>
        <v>0.19900497512437809</v>
      </c>
      <c r="I48" s="13">
        <f t="shared" si="3"/>
        <v>0.18149202543157922</v>
      </c>
    </row>
    <row r="49" spans="1:9" x14ac:dyDescent="0.4">
      <c r="A49" s="40">
        <v>43405</v>
      </c>
      <c r="B49" s="46">
        <v>8.422364</v>
      </c>
      <c r="C49" s="5">
        <f t="shared" si="0"/>
        <v>0.15231189170870671</v>
      </c>
      <c r="D49" s="13">
        <f t="shared" si="1"/>
        <v>0.14177026496089526</v>
      </c>
      <c r="F49" s="40">
        <v>43405</v>
      </c>
      <c r="G49" s="46">
        <v>14.6</v>
      </c>
      <c r="H49" s="3">
        <f t="shared" si="2"/>
        <v>-0.39419087136929465</v>
      </c>
      <c r="I49" s="13">
        <f t="shared" si="3"/>
        <v>-0.50119031178231865</v>
      </c>
    </row>
    <row r="50" spans="1:9" x14ac:dyDescent="0.4">
      <c r="A50" s="40">
        <v>43435</v>
      </c>
      <c r="B50" s="46">
        <v>9.1844190000000001</v>
      </c>
      <c r="C50" s="5">
        <f t="shared" si="0"/>
        <v>9.0479941261147126E-2</v>
      </c>
      <c r="D50" s="13">
        <f t="shared" si="1"/>
        <v>8.6617912415313761E-2</v>
      </c>
      <c r="F50" s="40">
        <v>43435</v>
      </c>
      <c r="G50" s="46">
        <v>12.6</v>
      </c>
      <c r="H50" s="3">
        <f t="shared" si="2"/>
        <v>-0.13698630136986301</v>
      </c>
      <c r="I50" s="13">
        <f t="shared" si="3"/>
        <v>-0.14732471475685843</v>
      </c>
    </row>
    <row r="51" spans="1:9" x14ac:dyDescent="0.4">
      <c r="A51" s="40">
        <v>43466</v>
      </c>
      <c r="B51" s="46">
        <v>9.1777920000000002</v>
      </c>
      <c r="C51" s="5">
        <f t="shared" si="0"/>
        <v>-7.2154809139260076E-4</v>
      </c>
      <c r="D51" s="13">
        <f t="shared" si="1"/>
        <v>-7.2180853250473345E-4</v>
      </c>
      <c r="F51" s="40">
        <v>43466</v>
      </c>
      <c r="G51" s="46">
        <v>13.4</v>
      </c>
      <c r="H51" s="3">
        <f t="shared" si="2"/>
        <v>6.3492063492063544E-2</v>
      </c>
      <c r="I51" s="13">
        <f t="shared" si="3"/>
        <v>6.1557892999433365E-2</v>
      </c>
    </row>
    <row r="52" spans="1:9" x14ac:dyDescent="0.4">
      <c r="A52" s="40">
        <v>43497</v>
      </c>
      <c r="B52" s="46">
        <v>9.5422530000000005</v>
      </c>
      <c r="C52" s="5">
        <f t="shared" si="0"/>
        <v>3.9711185435451178E-2</v>
      </c>
      <c r="D52" s="13">
        <f t="shared" si="1"/>
        <v>3.894296827367686E-2</v>
      </c>
      <c r="F52" s="40">
        <v>43497</v>
      </c>
      <c r="G52" s="46">
        <v>18</v>
      </c>
      <c r="H52" s="3">
        <f t="shared" si="2"/>
        <v>0.34328358208955223</v>
      </c>
      <c r="I52" s="13">
        <f t="shared" si="3"/>
        <v>0.29511705093929891</v>
      </c>
    </row>
    <row r="53" spans="1:9" x14ac:dyDescent="0.4">
      <c r="A53" s="40">
        <v>43525</v>
      </c>
      <c r="B53" s="46">
        <v>9.2109249999999996</v>
      </c>
      <c r="C53" s="5">
        <f t="shared" si="0"/>
        <v>-3.4722198206230848E-2</v>
      </c>
      <c r="D53" s="13">
        <f t="shared" si="1"/>
        <v>-3.5339341565433273E-2</v>
      </c>
      <c r="F53" s="40">
        <v>43525</v>
      </c>
      <c r="G53" s="46">
        <v>15.1</v>
      </c>
      <c r="H53" s="3">
        <f t="shared" si="2"/>
        <v>-0.16111111111111112</v>
      </c>
      <c r="I53" s="13">
        <f t="shared" si="3"/>
        <v>-0.17567701407528602</v>
      </c>
    </row>
    <row r="54" spans="1:9" x14ac:dyDescent="0.4">
      <c r="A54" s="40">
        <v>43556</v>
      </c>
      <c r="B54" s="46">
        <v>9.767557</v>
      </c>
      <c r="C54" s="5">
        <f t="shared" si="0"/>
        <v>6.0431715598596288E-2</v>
      </c>
      <c r="D54" s="13">
        <f t="shared" si="1"/>
        <v>5.8676104075050847E-2</v>
      </c>
      <c r="F54" s="40">
        <v>43556</v>
      </c>
      <c r="G54" s="46">
        <v>16.799999</v>
      </c>
      <c r="H54" s="3">
        <f t="shared" si="2"/>
        <v>0.11258271523178809</v>
      </c>
      <c r="I54" s="13">
        <f t="shared" si="3"/>
        <v>0.10668408306452321</v>
      </c>
    </row>
    <row r="55" spans="1:9" x14ac:dyDescent="0.4">
      <c r="A55" s="40">
        <v>43586</v>
      </c>
      <c r="B55" s="46">
        <v>9.7808100000000007</v>
      </c>
      <c r="C55" s="5">
        <f t="shared" si="0"/>
        <v>1.3568387673602135E-3</v>
      </c>
      <c r="D55" s="13">
        <f t="shared" si="1"/>
        <v>1.3559190934453269E-3</v>
      </c>
      <c r="F55" s="40">
        <v>43586</v>
      </c>
      <c r="G55" s="46">
        <v>16</v>
      </c>
      <c r="H55" s="3">
        <f t="shared" si="2"/>
        <v>-4.7618990929701822E-2</v>
      </c>
      <c r="I55" s="13">
        <f t="shared" si="3"/>
        <v>-4.8790104645620655E-2</v>
      </c>
    </row>
    <row r="56" spans="1:9" x14ac:dyDescent="0.4">
      <c r="A56" s="40">
        <v>43617</v>
      </c>
      <c r="B56" s="46">
        <v>9.8404489999999996</v>
      </c>
      <c r="C56" s="5">
        <f t="shared" si="0"/>
        <v>6.0975522477176103E-3</v>
      </c>
      <c r="D56" s="13">
        <f t="shared" si="1"/>
        <v>6.0790374013862843E-3</v>
      </c>
      <c r="F56" s="40">
        <v>43617</v>
      </c>
      <c r="G56" s="46">
        <v>16.5</v>
      </c>
      <c r="H56" s="3">
        <f t="shared" si="2"/>
        <v>3.125E-2</v>
      </c>
      <c r="I56" s="13">
        <f t="shared" si="3"/>
        <v>3.0771658666753687E-2</v>
      </c>
    </row>
    <row r="57" spans="1:9" x14ac:dyDescent="0.4">
      <c r="A57" s="40">
        <v>43647</v>
      </c>
      <c r="B57" s="46">
        <v>9.3699630000000003</v>
      </c>
      <c r="C57" s="5">
        <f t="shared" si="0"/>
        <v>-4.7811436246455757E-2</v>
      </c>
      <c r="D57" s="13">
        <f t="shared" si="1"/>
        <v>-4.89921926345867E-2</v>
      </c>
      <c r="F57" s="40">
        <v>43647</v>
      </c>
      <c r="G57" s="46">
        <v>17.200001</v>
      </c>
      <c r="H57" s="3">
        <f t="shared" si="2"/>
        <v>4.2424303030303048E-2</v>
      </c>
      <c r="I57" s="13">
        <f t="shared" si="3"/>
        <v>4.1549061052405682E-2</v>
      </c>
    </row>
    <row r="58" spans="1:9" x14ac:dyDescent="0.4">
      <c r="A58" s="40">
        <v>43678</v>
      </c>
      <c r="B58" s="46">
        <v>9.7808100000000007</v>
      </c>
      <c r="C58" s="5">
        <f t="shared" si="0"/>
        <v>4.3847238244163866E-2</v>
      </c>
      <c r="D58" s="13">
        <f t="shared" si="1"/>
        <v>4.2913155233200405E-2</v>
      </c>
      <c r="F58" s="40">
        <v>43678</v>
      </c>
      <c r="G58" s="46">
        <v>16.399999999999999</v>
      </c>
      <c r="H58" s="3">
        <f t="shared" si="2"/>
        <v>-4.6511683342344089E-2</v>
      </c>
      <c r="I58" s="13">
        <f t="shared" si="3"/>
        <v>-4.7628107128787948E-2</v>
      </c>
    </row>
    <row r="59" spans="1:9" x14ac:dyDescent="0.4">
      <c r="A59" s="40">
        <v>43709</v>
      </c>
      <c r="B59" s="46">
        <v>9.4958670000000005</v>
      </c>
      <c r="C59" s="5">
        <f t="shared" si="0"/>
        <v>-2.9132863229119076E-2</v>
      </c>
      <c r="D59" s="13">
        <f t="shared" si="1"/>
        <v>-2.9565651390992469E-2</v>
      </c>
      <c r="F59" s="40">
        <v>43709</v>
      </c>
      <c r="G59" s="46">
        <v>14.3</v>
      </c>
      <c r="H59" s="3">
        <f t="shared" si="2"/>
        <v>-0.12804878048780477</v>
      </c>
      <c r="I59" s="13">
        <f t="shared" si="3"/>
        <v>-0.13702179756429103</v>
      </c>
    </row>
    <row r="60" spans="1:9" x14ac:dyDescent="0.4">
      <c r="A60" s="40">
        <v>43739</v>
      </c>
      <c r="B60" s="46">
        <v>9.045261</v>
      </c>
      <c r="C60" s="5">
        <f t="shared" si="0"/>
        <v>-4.7452855015766383E-2</v>
      </c>
      <c r="D60" s="13">
        <f t="shared" si="1"/>
        <v>-4.8615677159730385E-2</v>
      </c>
      <c r="F60" s="40">
        <v>43739</v>
      </c>
      <c r="G60" s="46">
        <v>13.1</v>
      </c>
      <c r="H60" s="3">
        <f t="shared" si="2"/>
        <v>-8.3916083916083989E-2</v>
      </c>
      <c r="I60" s="13">
        <f t="shared" si="3"/>
        <v>-8.7647307058755786E-2</v>
      </c>
    </row>
    <row r="61" spans="1:9" x14ac:dyDescent="0.4">
      <c r="A61" s="40">
        <v>43770</v>
      </c>
      <c r="B61" s="46">
        <v>8.6476670000000002</v>
      </c>
      <c r="C61" s="5">
        <f t="shared" si="0"/>
        <v>-4.395605610495925E-2</v>
      </c>
      <c r="D61" s="13">
        <f t="shared" si="1"/>
        <v>-4.4951400569752491E-2</v>
      </c>
      <c r="F61" s="40">
        <v>43770</v>
      </c>
      <c r="G61" s="46">
        <v>12.5</v>
      </c>
      <c r="H61" s="3">
        <f t="shared" si="2"/>
        <v>-4.5801526717557224E-2</v>
      </c>
      <c r="I61" s="13">
        <f t="shared" si="3"/>
        <v>-4.6883585898850381E-2</v>
      </c>
    </row>
    <row r="62" spans="1:9" x14ac:dyDescent="0.4">
      <c r="A62" s="40">
        <v>43800</v>
      </c>
      <c r="B62" s="46">
        <v>9.1380330000000001</v>
      </c>
      <c r="C62" s="5">
        <f t="shared" si="0"/>
        <v>5.6705004945264412E-2</v>
      </c>
      <c r="D62" s="13">
        <f t="shared" si="1"/>
        <v>5.5155580845478093E-2</v>
      </c>
      <c r="F62" s="40">
        <v>43800</v>
      </c>
      <c r="G62" s="46">
        <v>12.3</v>
      </c>
      <c r="H62" s="3">
        <f t="shared" si="2"/>
        <v>-1.5999999999999945E-2</v>
      </c>
      <c r="I62" s="13">
        <f t="shared" si="3"/>
        <v>-1.6129381929883529E-2</v>
      </c>
    </row>
    <row r="63" spans="1:9" x14ac:dyDescent="0.4">
      <c r="A63" s="40">
        <v>43831</v>
      </c>
      <c r="B63" s="46">
        <v>9.9067150000000002</v>
      </c>
      <c r="C63" s="5">
        <f t="shared" si="0"/>
        <v>8.411897834030585E-2</v>
      </c>
      <c r="D63" s="13">
        <f t="shared" si="1"/>
        <v>8.076765561093649E-2</v>
      </c>
      <c r="F63" s="40">
        <v>43831</v>
      </c>
      <c r="G63" s="46">
        <v>13.5</v>
      </c>
      <c r="H63" s="3">
        <f t="shared" si="2"/>
        <v>9.7560975609756032E-2</v>
      </c>
      <c r="I63" s="13">
        <f t="shared" si="3"/>
        <v>9.3090423066011826E-2</v>
      </c>
    </row>
    <row r="64" spans="1:9" x14ac:dyDescent="0.4">
      <c r="A64" s="40">
        <v>43862</v>
      </c>
      <c r="B64" s="46">
        <v>9.2506850000000007</v>
      </c>
      <c r="C64" s="5">
        <f t="shared" si="0"/>
        <v>-6.6220740174719822E-2</v>
      </c>
      <c r="D64" s="13">
        <f t="shared" si="1"/>
        <v>-6.8515207202473394E-2</v>
      </c>
      <c r="F64" s="40">
        <v>43862</v>
      </c>
      <c r="G64" s="46">
        <v>13.2</v>
      </c>
      <c r="H64" s="3">
        <f t="shared" si="2"/>
        <v>-2.2222222222222275E-2</v>
      </c>
      <c r="I64" s="13">
        <f t="shared" si="3"/>
        <v>-2.2472855852058628E-2</v>
      </c>
    </row>
    <row r="65" spans="1:9" x14ac:dyDescent="0.4">
      <c r="A65" s="40">
        <v>43891</v>
      </c>
      <c r="B65" s="46">
        <v>5.9042690000000002</v>
      </c>
      <c r="C65" s="5">
        <f t="shared" si="0"/>
        <v>-0.36174791380314003</v>
      </c>
      <c r="D65" s="13">
        <f t="shared" si="1"/>
        <v>-0.44902195424565855</v>
      </c>
      <c r="F65" s="40">
        <v>43891</v>
      </c>
      <c r="G65" s="46">
        <v>9.3000000000000007</v>
      </c>
      <c r="H65" s="3">
        <f t="shared" si="2"/>
        <v>-0.29545454545454536</v>
      </c>
      <c r="I65" s="13">
        <f t="shared" si="3"/>
        <v>-0.35020242943311486</v>
      </c>
    </row>
    <row r="66" spans="1:9" x14ac:dyDescent="0.4">
      <c r="A66" s="40">
        <v>43922</v>
      </c>
      <c r="B66" s="46">
        <v>6.3084899999999999</v>
      </c>
      <c r="C66" s="5">
        <f t="shared" si="0"/>
        <v>6.8462497220231622E-2</v>
      </c>
      <c r="D66" s="13">
        <f t="shared" si="1"/>
        <v>6.6220696630663808E-2</v>
      </c>
      <c r="F66" s="40">
        <v>43922</v>
      </c>
      <c r="G66" s="46">
        <v>10</v>
      </c>
      <c r="H66" s="3">
        <f t="shared" si="2"/>
        <v>7.5268817204300995E-2</v>
      </c>
      <c r="I66" s="13">
        <f t="shared" si="3"/>
        <v>7.2570692834835374E-2</v>
      </c>
    </row>
    <row r="67" spans="1:9" x14ac:dyDescent="0.4">
      <c r="A67" s="40">
        <v>43952</v>
      </c>
      <c r="B67" s="46">
        <v>7.1566900000000002</v>
      </c>
      <c r="C67" s="5">
        <f t="shared" si="0"/>
        <v>0.13445372822973489</v>
      </c>
      <c r="D67" s="13">
        <f t="shared" si="1"/>
        <v>0.12615123835903563</v>
      </c>
      <c r="F67" s="40">
        <v>43952</v>
      </c>
      <c r="G67" s="46">
        <v>11</v>
      </c>
      <c r="H67" s="3">
        <f t="shared" si="2"/>
        <v>0.1</v>
      </c>
      <c r="I67" s="13">
        <f t="shared" si="3"/>
        <v>9.5310179804324935E-2</v>
      </c>
    </row>
    <row r="68" spans="1:9" x14ac:dyDescent="0.4">
      <c r="A68" s="40">
        <v>43983</v>
      </c>
      <c r="B68" s="46">
        <v>7.3024740000000001</v>
      </c>
      <c r="C68" s="5">
        <f t="shared" si="0"/>
        <v>2.0370310855996266E-2</v>
      </c>
      <c r="D68" s="13">
        <f t="shared" si="1"/>
        <v>2.0165611268345877E-2</v>
      </c>
      <c r="F68" s="40">
        <v>43983</v>
      </c>
      <c r="G68" s="46">
        <v>15</v>
      </c>
      <c r="H68" s="3">
        <f t="shared" si="2"/>
        <v>0.36363636363636365</v>
      </c>
      <c r="I68" s="13">
        <f t="shared" si="3"/>
        <v>0.31015492830383945</v>
      </c>
    </row>
    <row r="69" spans="1:9" x14ac:dyDescent="0.4">
      <c r="A69" s="40">
        <v>44013</v>
      </c>
      <c r="B69" s="46">
        <v>7.9518779999999998</v>
      </c>
      <c r="C69" s="5">
        <f t="shared" ref="C69:C99" si="4">(B69-B68)/B68</f>
        <v>8.8929313544971147E-2</v>
      </c>
      <c r="D69" s="13">
        <f t="shared" ref="D69:D99" si="5">LN(B69/B68)</f>
        <v>8.5194932335359991E-2</v>
      </c>
      <c r="F69" s="40">
        <v>44013</v>
      </c>
      <c r="G69" s="46">
        <v>29.799999</v>
      </c>
      <c r="H69" s="3">
        <f t="shared" ref="H69:H99" si="6">(G69-G68)/G68</f>
        <v>0.98666659999999995</v>
      </c>
      <c r="I69" s="13">
        <f t="shared" ref="I69:I99" si="7">LN(G69/G68)</f>
        <v>0.68645815885210115</v>
      </c>
    </row>
    <row r="70" spans="1:9" x14ac:dyDescent="0.4">
      <c r="A70" s="40">
        <v>44044</v>
      </c>
      <c r="B70" s="46">
        <v>7.2647750000000002</v>
      </c>
      <c r="C70" s="5">
        <f t="shared" si="4"/>
        <v>-8.6407638547774446E-2</v>
      </c>
      <c r="D70" s="13">
        <f t="shared" si="5"/>
        <v>-9.0370801047671617E-2</v>
      </c>
      <c r="F70" s="40">
        <v>44044</v>
      </c>
      <c r="G70" s="46">
        <v>23.799999</v>
      </c>
      <c r="H70" s="3">
        <f t="shared" si="6"/>
        <v>-0.20134228863564727</v>
      </c>
      <c r="I70" s="13">
        <f t="shared" si="7"/>
        <v>-0.22482282129368986</v>
      </c>
    </row>
    <row r="71" spans="1:9" x14ac:dyDescent="0.4">
      <c r="A71" s="40">
        <v>44075</v>
      </c>
      <c r="B71" s="46">
        <v>6.9681129999999998</v>
      </c>
      <c r="C71" s="5">
        <f t="shared" si="4"/>
        <v>-4.083567625976034E-2</v>
      </c>
      <c r="D71" s="13">
        <f t="shared" si="5"/>
        <v>-4.1692869725926014E-2</v>
      </c>
      <c r="F71" s="40">
        <v>44075</v>
      </c>
      <c r="G71" s="46">
        <v>24.200001</v>
      </c>
      <c r="H71" s="3">
        <f t="shared" si="6"/>
        <v>1.6806807428857481E-2</v>
      </c>
      <c r="I71" s="13">
        <f t="shared" si="7"/>
        <v>1.6667135824332477E-2</v>
      </c>
    </row>
    <row r="72" spans="1:9" x14ac:dyDescent="0.4">
      <c r="A72" s="40">
        <v>44105</v>
      </c>
      <c r="B72" s="46">
        <v>7.0716000000000001</v>
      </c>
      <c r="C72" s="5">
        <f t="shared" si="4"/>
        <v>1.4851510014260723E-2</v>
      </c>
      <c r="D72" s="13">
        <f t="shared" si="5"/>
        <v>1.4742306239060074E-2</v>
      </c>
      <c r="F72" s="40">
        <v>44105</v>
      </c>
      <c r="G72" s="46">
        <v>20</v>
      </c>
      <c r="H72" s="3">
        <f t="shared" si="6"/>
        <v>-0.17355375315893584</v>
      </c>
      <c r="I72" s="13">
        <f t="shared" si="7"/>
        <v>-0.19062040093096294</v>
      </c>
    </row>
    <row r="73" spans="1:9" x14ac:dyDescent="0.4">
      <c r="A73" s="40">
        <v>44136</v>
      </c>
      <c r="B73" s="46">
        <v>8.7135909999999992</v>
      </c>
      <c r="C73" s="5">
        <f t="shared" si="4"/>
        <v>0.23219511850217758</v>
      </c>
      <c r="D73" s="13">
        <f t="shared" si="5"/>
        <v>0.20879722797887881</v>
      </c>
      <c r="F73" s="40">
        <v>44136</v>
      </c>
      <c r="G73" s="46">
        <v>30.200001</v>
      </c>
      <c r="H73" s="3">
        <f t="shared" si="6"/>
        <v>0.51000005000000004</v>
      </c>
      <c r="I73" s="13">
        <f t="shared" si="7"/>
        <v>0.41210968393941516</v>
      </c>
    </row>
    <row r="74" spans="1:9" x14ac:dyDescent="0.4">
      <c r="A74" s="40">
        <v>44166</v>
      </c>
      <c r="B74" s="46">
        <v>10.045121999999999</v>
      </c>
      <c r="C74" s="5">
        <f t="shared" si="4"/>
        <v>0.15281082162336976</v>
      </c>
      <c r="D74" s="13">
        <f t="shared" si="5"/>
        <v>0.14220315291047694</v>
      </c>
      <c r="F74" s="40">
        <v>44166</v>
      </c>
      <c r="G74" s="46">
        <v>28.200001</v>
      </c>
      <c r="H74" s="3">
        <f t="shared" si="6"/>
        <v>-6.6225163370027706E-2</v>
      </c>
      <c r="I74" s="13">
        <f t="shared" si="7"/>
        <v>-6.851994408834601E-2</v>
      </c>
    </row>
    <row r="75" spans="1:9" x14ac:dyDescent="0.4">
      <c r="A75" s="40">
        <v>44197</v>
      </c>
      <c r="B75" s="46">
        <v>9.4517969999999991</v>
      </c>
      <c r="C75" s="5">
        <f t="shared" si="4"/>
        <v>-5.9065982473881368E-2</v>
      </c>
      <c r="D75" s="13">
        <f t="shared" si="5"/>
        <v>-6.0882261381156391E-2</v>
      </c>
      <c r="F75" s="40">
        <v>44197</v>
      </c>
      <c r="G75" s="46">
        <v>26.6</v>
      </c>
      <c r="H75" s="3">
        <f t="shared" si="6"/>
        <v>-5.6737622101502724E-2</v>
      </c>
      <c r="I75" s="13">
        <f t="shared" si="7"/>
        <v>-5.841079761740671E-2</v>
      </c>
    </row>
    <row r="76" spans="1:9" x14ac:dyDescent="0.4">
      <c r="A76" s="40">
        <v>44228</v>
      </c>
      <c r="B76" s="46">
        <v>8.2513500000000004</v>
      </c>
      <c r="C76" s="5">
        <f t="shared" si="4"/>
        <v>-0.12700727702890771</v>
      </c>
      <c r="D76" s="13">
        <f t="shared" si="5"/>
        <v>-0.13582805883467375</v>
      </c>
      <c r="F76" s="40">
        <v>44228</v>
      </c>
      <c r="G76" s="46">
        <v>23</v>
      </c>
      <c r="H76" s="3">
        <f t="shared" si="6"/>
        <v>-0.1353383458646617</v>
      </c>
      <c r="I76" s="13">
        <f t="shared" si="7"/>
        <v>-0.1454169998585037</v>
      </c>
    </row>
    <row r="77" spans="1:9" x14ac:dyDescent="0.4">
      <c r="A77" s="40">
        <v>44256</v>
      </c>
      <c r="B77" s="46">
        <v>8.9895560000000003</v>
      </c>
      <c r="C77" s="5">
        <f t="shared" si="4"/>
        <v>8.9464875444624198E-2</v>
      </c>
      <c r="D77" s="13">
        <f t="shared" si="5"/>
        <v>8.5686635731513208E-2</v>
      </c>
      <c r="F77" s="40">
        <v>44256</v>
      </c>
      <c r="G77" s="46">
        <v>26.799999</v>
      </c>
      <c r="H77" s="3">
        <f t="shared" si="6"/>
        <v>0.16521734782608694</v>
      </c>
      <c r="I77" s="13">
        <f t="shared" si="7"/>
        <v>0.15290763427422779</v>
      </c>
    </row>
    <row r="78" spans="1:9" x14ac:dyDescent="0.4">
      <c r="A78" s="40">
        <v>44287</v>
      </c>
      <c r="B78" s="46">
        <v>9.5483849999999997</v>
      </c>
      <c r="C78" s="5">
        <f t="shared" si="4"/>
        <v>6.2164249268818098E-2</v>
      </c>
      <c r="D78" s="13">
        <f t="shared" si="5"/>
        <v>6.0308571189525491E-2</v>
      </c>
      <c r="F78" s="40">
        <v>44287</v>
      </c>
      <c r="G78" s="46">
        <v>23.799999</v>
      </c>
      <c r="H78" s="3">
        <f t="shared" si="6"/>
        <v>-0.11194030268433966</v>
      </c>
      <c r="I78" s="13">
        <f t="shared" si="7"/>
        <v>-0.11871631154275604</v>
      </c>
    </row>
    <row r="79" spans="1:9" x14ac:dyDescent="0.4">
      <c r="A79" s="40">
        <v>44317</v>
      </c>
      <c r="B79" s="46">
        <v>10.446153000000001</v>
      </c>
      <c r="C79" s="5">
        <f t="shared" si="4"/>
        <v>9.4023020646947217E-2</v>
      </c>
      <c r="D79" s="13">
        <f t="shared" si="5"/>
        <v>8.9861746417287683E-2</v>
      </c>
      <c r="F79" s="40">
        <v>44317</v>
      </c>
      <c r="G79" s="46">
        <v>22.6</v>
      </c>
      <c r="H79" s="3">
        <f t="shared" si="6"/>
        <v>-5.0420128168912878E-2</v>
      </c>
      <c r="I79" s="13">
        <f t="shared" si="7"/>
        <v>-5.1735632382381096E-2</v>
      </c>
    </row>
    <row r="80" spans="1:9" x14ac:dyDescent="0.4">
      <c r="A80" s="40">
        <v>44348</v>
      </c>
      <c r="B80" s="46">
        <v>9.3307690000000001</v>
      </c>
      <c r="C80" s="5">
        <f t="shared" si="4"/>
        <v>-0.10677461836907812</v>
      </c>
      <c r="D80" s="13">
        <f t="shared" si="5"/>
        <v>-0.11291634290518485</v>
      </c>
      <c r="F80" s="40">
        <v>44348</v>
      </c>
      <c r="G80" s="46">
        <v>22.1</v>
      </c>
      <c r="H80" s="3">
        <f t="shared" si="6"/>
        <v>-2.2123893805309734E-2</v>
      </c>
      <c r="I80" s="13">
        <f t="shared" si="7"/>
        <v>-2.2372297754533099E-2</v>
      </c>
    </row>
    <row r="81" spans="1:9" x14ac:dyDescent="0.4">
      <c r="A81" s="40">
        <v>44378</v>
      </c>
      <c r="B81" s="46">
        <v>9.1846150000000009</v>
      </c>
      <c r="C81" s="5">
        <f t="shared" si="4"/>
        <v>-1.5663660733643628E-2</v>
      </c>
      <c r="D81" s="13">
        <f t="shared" si="5"/>
        <v>-1.5787632135480914E-2</v>
      </c>
      <c r="F81" s="40">
        <v>44378</v>
      </c>
      <c r="G81" s="46">
        <v>18.799999</v>
      </c>
      <c r="H81" s="3">
        <f t="shared" si="6"/>
        <v>-0.14932131221719463</v>
      </c>
      <c r="I81" s="13">
        <f t="shared" si="7"/>
        <v>-0.16172079187929453</v>
      </c>
    </row>
    <row r="82" spans="1:9" x14ac:dyDescent="0.4">
      <c r="A82" s="40">
        <v>44409</v>
      </c>
      <c r="B82" s="46">
        <v>10.392307000000001</v>
      </c>
      <c r="C82" s="5">
        <f t="shared" si="4"/>
        <v>0.13149075927515738</v>
      </c>
      <c r="D82" s="13">
        <f t="shared" si="5"/>
        <v>0.1235360192663764</v>
      </c>
      <c r="F82" s="40">
        <v>44409</v>
      </c>
      <c r="G82" s="46">
        <v>18</v>
      </c>
      <c r="H82" s="3">
        <f t="shared" si="6"/>
        <v>-4.2553140561337251E-2</v>
      </c>
      <c r="I82" s="13">
        <f t="shared" si="7"/>
        <v>-4.3485058748248089E-2</v>
      </c>
    </row>
    <row r="83" spans="1:9" x14ac:dyDescent="0.4">
      <c r="A83" s="40">
        <v>44440</v>
      </c>
      <c r="B83" s="46">
        <v>10.792306999999999</v>
      </c>
      <c r="C83" s="5">
        <f t="shared" si="4"/>
        <v>3.8490009966025689E-2</v>
      </c>
      <c r="D83" s="13">
        <f t="shared" si="5"/>
        <v>3.7767744611328875E-2</v>
      </c>
      <c r="F83" s="40">
        <v>44440</v>
      </c>
      <c r="G83" s="46">
        <v>16.899999999999999</v>
      </c>
      <c r="H83" s="3">
        <f t="shared" si="6"/>
        <v>-6.1111111111111192E-2</v>
      </c>
      <c r="I83" s="13">
        <f t="shared" si="7"/>
        <v>-6.3058135967137025E-2</v>
      </c>
    </row>
    <row r="84" spans="1:9" x14ac:dyDescent="0.4">
      <c r="A84" s="40">
        <v>44470</v>
      </c>
      <c r="B84" s="46">
        <v>9.9076920000000008</v>
      </c>
      <c r="C84" s="5">
        <f t="shared" si="4"/>
        <v>-8.1967182734886845E-2</v>
      </c>
      <c r="D84" s="13">
        <f t="shared" si="5"/>
        <v>-8.5522140345807102E-2</v>
      </c>
      <c r="F84" s="40">
        <v>44470</v>
      </c>
      <c r="G84" s="46">
        <v>14.9</v>
      </c>
      <c r="H84" s="3">
        <f t="shared" si="6"/>
        <v>-0.1183431952662721</v>
      </c>
      <c r="I84" s="13">
        <f t="shared" si="7"/>
        <v>-0.12595240897761426</v>
      </c>
    </row>
    <row r="85" spans="1:9" x14ac:dyDescent="0.4">
      <c r="A85" s="40">
        <v>44501</v>
      </c>
      <c r="B85" s="46">
        <v>10.107692</v>
      </c>
      <c r="C85" s="5">
        <f t="shared" si="4"/>
        <v>2.0186336030631479E-2</v>
      </c>
      <c r="D85" s="13">
        <f t="shared" si="5"/>
        <v>1.9985292994757257E-2</v>
      </c>
      <c r="F85" s="40">
        <v>44501</v>
      </c>
      <c r="G85" s="46">
        <v>13.7</v>
      </c>
      <c r="H85" s="3">
        <f t="shared" si="6"/>
        <v>-8.0536912751677917E-2</v>
      </c>
      <c r="I85" s="13">
        <f t="shared" si="7"/>
        <v>-8.3965380117334343E-2</v>
      </c>
    </row>
    <row r="86" spans="1:9" x14ac:dyDescent="0.4">
      <c r="A86" s="40">
        <v>44531</v>
      </c>
      <c r="B86" s="46">
        <v>10.084614999999999</v>
      </c>
      <c r="C86" s="5">
        <f t="shared" si="4"/>
        <v>-2.2831127026823415E-3</v>
      </c>
      <c r="D86" s="13">
        <f t="shared" si="5"/>
        <v>-2.2857229782813219E-3</v>
      </c>
      <c r="F86" s="40">
        <v>44531</v>
      </c>
      <c r="G86" s="46">
        <v>12.8</v>
      </c>
      <c r="H86" s="3">
        <f t="shared" si="6"/>
        <v>-6.5693430656934212E-2</v>
      </c>
      <c r="I86" s="13">
        <f t="shared" si="7"/>
        <v>-6.7950661908507667E-2</v>
      </c>
    </row>
    <row r="87" spans="1:9" x14ac:dyDescent="0.4">
      <c r="A87" s="40">
        <v>44562</v>
      </c>
      <c r="B87" s="46">
        <v>10.1</v>
      </c>
      <c r="C87" s="5">
        <f t="shared" si="4"/>
        <v>1.5255912099768018E-3</v>
      </c>
      <c r="D87" s="13">
        <f t="shared" si="5"/>
        <v>1.5244286779223658E-3</v>
      </c>
      <c r="F87" s="40">
        <v>44562</v>
      </c>
      <c r="G87" s="46">
        <v>17.5</v>
      </c>
      <c r="H87" s="3">
        <f t="shared" si="6"/>
        <v>0.36718749999999994</v>
      </c>
      <c r="I87" s="13">
        <f t="shared" si="7"/>
        <v>0.3127557100038969</v>
      </c>
    </row>
    <row r="88" spans="1:9" x14ac:dyDescent="0.4">
      <c r="A88" s="40">
        <v>44593</v>
      </c>
      <c r="B88" s="46">
        <v>9.8461529999999993</v>
      </c>
      <c r="C88" s="5">
        <f t="shared" si="4"/>
        <v>-2.5133366336633701E-2</v>
      </c>
      <c r="D88" s="13">
        <f t="shared" si="5"/>
        <v>-2.5454603326637022E-2</v>
      </c>
      <c r="F88" s="40">
        <v>44593</v>
      </c>
      <c r="G88" s="46">
        <v>13.4</v>
      </c>
      <c r="H88" s="3">
        <f t="shared" si="6"/>
        <v>-0.23428571428571426</v>
      </c>
      <c r="I88" s="13">
        <f t="shared" si="7"/>
        <v>-0.26694617397260273</v>
      </c>
    </row>
    <row r="89" spans="1:9" x14ac:dyDescent="0.4">
      <c r="A89" s="40">
        <v>44621</v>
      </c>
      <c r="B89" s="46">
        <v>11.7</v>
      </c>
      <c r="C89" s="5">
        <f t="shared" si="4"/>
        <v>0.18828135211792871</v>
      </c>
      <c r="D89" s="13">
        <f t="shared" si="5"/>
        <v>0.17250802128313372</v>
      </c>
      <c r="F89" s="40">
        <v>44621</v>
      </c>
      <c r="G89" s="46">
        <v>13.9</v>
      </c>
      <c r="H89" s="3">
        <f t="shared" si="6"/>
        <v>3.7313432835820892E-2</v>
      </c>
      <c r="I89" s="13">
        <f t="shared" si="7"/>
        <v>3.6634133179780384E-2</v>
      </c>
    </row>
    <row r="90" spans="1:9" x14ac:dyDescent="0.4">
      <c r="A90" s="40">
        <v>44652</v>
      </c>
      <c r="B90" s="46">
        <v>11.284615000000001</v>
      </c>
      <c r="C90" s="5">
        <f t="shared" si="4"/>
        <v>-3.550299145299135E-2</v>
      </c>
      <c r="D90" s="13">
        <f t="shared" si="5"/>
        <v>-3.6148548199474585E-2</v>
      </c>
      <c r="F90" s="40">
        <v>44652</v>
      </c>
      <c r="G90" s="46">
        <v>13.7</v>
      </c>
      <c r="H90" s="3">
        <f t="shared" si="6"/>
        <v>-1.4388489208633171E-2</v>
      </c>
      <c r="I90" s="13">
        <f t="shared" si="7"/>
        <v>-1.4493007302566864E-2</v>
      </c>
    </row>
    <row r="91" spans="1:9" x14ac:dyDescent="0.4">
      <c r="A91" s="40">
        <v>44682</v>
      </c>
      <c r="B91" s="46">
        <v>11.65</v>
      </c>
      <c r="C91" s="5">
        <f t="shared" si="4"/>
        <v>3.2379039958385807E-2</v>
      </c>
      <c r="D91" s="13">
        <f t="shared" si="5"/>
        <v>3.1865886407473822E-2</v>
      </c>
      <c r="F91" s="40">
        <v>44682</v>
      </c>
      <c r="G91" s="46">
        <v>13.1</v>
      </c>
      <c r="H91" s="3">
        <f t="shared" si="6"/>
        <v>-4.3795620437956179E-2</v>
      </c>
      <c r="I91" s="13">
        <f t="shared" si="7"/>
        <v>-4.4783602626973312E-2</v>
      </c>
    </row>
    <row r="92" spans="1:9" x14ac:dyDescent="0.4">
      <c r="A92" s="40">
        <v>44713</v>
      </c>
      <c r="B92" s="46">
        <v>10.38</v>
      </c>
      <c r="C92" s="5">
        <f t="shared" si="4"/>
        <v>-0.10901287553648065</v>
      </c>
      <c r="D92" s="13">
        <f t="shared" si="5"/>
        <v>-0.11542530227396695</v>
      </c>
      <c r="F92" s="40">
        <v>44713</v>
      </c>
      <c r="G92" s="46">
        <v>11</v>
      </c>
      <c r="H92" s="3">
        <f t="shared" si="6"/>
        <v>-0.16030534351145037</v>
      </c>
      <c r="I92" s="13">
        <f t="shared" si="7"/>
        <v>-0.17471695740873525</v>
      </c>
    </row>
    <row r="93" spans="1:9" x14ac:dyDescent="0.4">
      <c r="A93" s="40">
        <v>44743</v>
      </c>
      <c r="B93" s="46">
        <v>11.24</v>
      </c>
      <c r="C93" s="5">
        <f t="shared" si="4"/>
        <v>8.2851637764932498E-2</v>
      </c>
      <c r="D93" s="13">
        <f t="shared" si="5"/>
        <v>7.9597966727802311E-2</v>
      </c>
      <c r="F93" s="40">
        <v>44743</v>
      </c>
      <c r="G93" s="46">
        <v>9.6</v>
      </c>
      <c r="H93" s="3">
        <f t="shared" si="6"/>
        <v>-0.12727272727272732</v>
      </c>
      <c r="I93" s="13">
        <f t="shared" si="7"/>
        <v>-0.13613217432458005</v>
      </c>
    </row>
    <row r="94" spans="1:9" x14ac:dyDescent="0.4">
      <c r="A94" s="40">
        <v>44774</v>
      </c>
      <c r="B94" s="46">
        <v>12.1</v>
      </c>
      <c r="C94" s="5">
        <f t="shared" si="4"/>
        <v>7.6512455516014183E-2</v>
      </c>
      <c r="D94" s="13">
        <f t="shared" si="5"/>
        <v>7.3726608137150318E-2</v>
      </c>
      <c r="F94" s="40">
        <v>44774</v>
      </c>
      <c r="G94" s="46">
        <v>10.4</v>
      </c>
      <c r="H94" s="3">
        <f t="shared" si="6"/>
        <v>8.3333333333333412E-2</v>
      </c>
      <c r="I94" s="13">
        <f t="shared" si="7"/>
        <v>8.0042707673536564E-2</v>
      </c>
    </row>
    <row r="95" spans="1:9" x14ac:dyDescent="0.4">
      <c r="A95" s="40">
        <v>44805</v>
      </c>
      <c r="B95" s="46">
        <v>10.76</v>
      </c>
      <c r="C95" s="5">
        <f t="shared" si="4"/>
        <v>-0.11074380165289255</v>
      </c>
      <c r="D95" s="13">
        <f t="shared" si="5"/>
        <v>-0.11736989786905704</v>
      </c>
      <c r="F95" s="40">
        <v>44805</v>
      </c>
      <c r="G95" s="46">
        <v>8.3000000000000007</v>
      </c>
      <c r="H95" s="3">
        <f t="shared" si="6"/>
        <v>-0.20192307692307687</v>
      </c>
      <c r="I95" s="13">
        <f t="shared" si="7"/>
        <v>-0.22555029134477467</v>
      </c>
    </row>
    <row r="96" spans="1:9" x14ac:dyDescent="0.4">
      <c r="A96" s="40">
        <v>44835</v>
      </c>
      <c r="B96" s="46">
        <v>11.37</v>
      </c>
      <c r="C96" s="5">
        <f t="shared" si="4"/>
        <v>5.6691449814126341E-2</v>
      </c>
      <c r="D96" s="13">
        <f t="shared" si="5"/>
        <v>5.5142753028806356E-2</v>
      </c>
      <c r="F96" s="40">
        <v>44835</v>
      </c>
      <c r="G96" s="46">
        <v>6.3</v>
      </c>
      <c r="H96" s="3">
        <f t="shared" si="6"/>
        <v>-0.24096385542168683</v>
      </c>
      <c r="I96" s="13">
        <f t="shared" si="7"/>
        <v>-0.27570588140506536</v>
      </c>
    </row>
    <row r="97" spans="1:9" x14ac:dyDescent="0.4">
      <c r="A97" s="40">
        <v>44866</v>
      </c>
      <c r="B97" s="46">
        <v>11.48</v>
      </c>
      <c r="C97" s="5">
        <f t="shared" si="4"/>
        <v>9.6745822339490955E-3</v>
      </c>
      <c r="D97" s="13">
        <f t="shared" si="5"/>
        <v>9.6280831289757129E-3</v>
      </c>
      <c r="F97" s="40">
        <v>44866</v>
      </c>
      <c r="G97" s="46">
        <v>5.2</v>
      </c>
      <c r="H97" s="3">
        <f t="shared" si="6"/>
        <v>-0.17460317460317454</v>
      </c>
      <c r="I97" s="13">
        <f t="shared" si="7"/>
        <v>-0.19189100781010526</v>
      </c>
    </row>
    <row r="98" spans="1:9" x14ac:dyDescent="0.4">
      <c r="A98" s="40">
        <v>44896</v>
      </c>
      <c r="B98" s="46">
        <v>11.14</v>
      </c>
      <c r="C98" s="5">
        <f t="shared" si="4"/>
        <v>-2.9616724738675944E-2</v>
      </c>
      <c r="D98" s="13">
        <f t="shared" si="5"/>
        <v>-3.0064156392282375E-2</v>
      </c>
      <c r="F98" s="40">
        <v>44896</v>
      </c>
      <c r="G98" s="46">
        <v>5.0999999999999996</v>
      </c>
      <c r="H98" s="3">
        <f t="shared" si="6"/>
        <v>-1.9230769230769332E-2</v>
      </c>
      <c r="I98" s="13">
        <f t="shared" si="7"/>
        <v>-1.9418085857101738E-2</v>
      </c>
    </row>
    <row r="99" spans="1:9" ht="16.5" thickBot="1" x14ac:dyDescent="0.45">
      <c r="A99" s="41">
        <v>44927</v>
      </c>
      <c r="B99" s="47">
        <v>11.46</v>
      </c>
      <c r="C99" s="14">
        <f t="shared" si="4"/>
        <v>2.8725314183123903E-2</v>
      </c>
      <c r="D99" s="15">
        <f t="shared" si="5"/>
        <v>2.8320476787455515E-2</v>
      </c>
      <c r="F99" s="41">
        <v>44927</v>
      </c>
      <c r="G99" s="47">
        <v>5.2</v>
      </c>
      <c r="H99" s="10">
        <f t="shared" si="6"/>
        <v>1.9607843137255009E-2</v>
      </c>
      <c r="I99" s="15">
        <f t="shared" si="7"/>
        <v>1.9418085857101731E-2</v>
      </c>
    </row>
    <row r="100" spans="1:9" ht="16.5" thickBot="1" x14ac:dyDescent="0.45"/>
    <row r="101" spans="1:9" ht="16.5" thickBot="1" x14ac:dyDescent="0.45">
      <c r="A101" s="68" t="s">
        <v>4</v>
      </c>
      <c r="B101" s="69"/>
      <c r="C101" s="6">
        <f>AVERAGE(C4:C99)</f>
        <v>1.1695707840204487E-2</v>
      </c>
      <c r="D101" s="6">
        <f>AVERAGE(D4:D99)</f>
        <v>4.2092613739797688E-3</v>
      </c>
      <c r="F101" s="63" t="s">
        <v>4</v>
      </c>
      <c r="G101" s="64"/>
      <c r="H101" s="6">
        <f>AVERAGE(H4:H99)</f>
        <v>-3.7538130246480019E-3</v>
      </c>
      <c r="I101" s="6">
        <f>AVERAGE(I4:I99)</f>
        <v>-2.3597524401909143E-2</v>
      </c>
    </row>
    <row r="102" spans="1:9" ht="16.5" thickBot="1" x14ac:dyDescent="0.45">
      <c r="A102" s="68" t="s">
        <v>5</v>
      </c>
      <c r="B102" s="69"/>
      <c r="C102" s="26">
        <f>_xlfn.VAR.S(C4:C99)</f>
        <v>1.57633186306444E-2</v>
      </c>
      <c r="D102" s="26">
        <f>_xlfn.VAR.S(D4:D99)</f>
        <v>1.4933312814673305E-2</v>
      </c>
      <c r="F102" s="63" t="s">
        <v>5</v>
      </c>
      <c r="G102" s="64"/>
      <c r="H102" s="26">
        <f>_xlfn.VAR.S(H4:H99)</f>
        <v>4.6486022019814596E-2</v>
      </c>
      <c r="I102" s="26">
        <f>_xlfn.VAR.S(I4:I99)</f>
        <v>3.7891113315673415E-2</v>
      </c>
    </row>
    <row r="103" spans="1:9" ht="16.5" thickBot="1" x14ac:dyDescent="0.45">
      <c r="A103" s="68" t="s">
        <v>6</v>
      </c>
      <c r="B103" s="69"/>
      <c r="C103" s="48">
        <f>SQRT(C102)</f>
        <v>0.12555205546164666</v>
      </c>
      <c r="D103" s="48">
        <f>SQRT(D102)</f>
        <v>0.12220193457827623</v>
      </c>
      <c r="F103" s="63" t="s">
        <v>6</v>
      </c>
      <c r="G103" s="64"/>
      <c r="H103" s="48">
        <f>SQRT(H102)</f>
        <v>0.21560617342695593</v>
      </c>
      <c r="I103" s="48">
        <f>SQRT(I102)</f>
        <v>0.19465639808563553</v>
      </c>
    </row>
    <row r="105" spans="1:9" ht="16.5" thickBot="1" x14ac:dyDescent="0.45"/>
    <row r="106" spans="1:9" ht="16.5" thickBot="1" x14ac:dyDescent="0.45">
      <c r="A106" s="65" t="s">
        <v>8</v>
      </c>
      <c r="B106" s="66"/>
      <c r="C106" s="66"/>
      <c r="D106" s="66"/>
      <c r="E106" s="66"/>
      <c r="F106" s="66"/>
      <c r="G106" s="66"/>
      <c r="H106" s="67"/>
    </row>
    <row r="107" spans="1:9" ht="16.5" thickBot="1" x14ac:dyDescent="0.45"/>
    <row r="108" spans="1:9" ht="16.5" thickBot="1" x14ac:dyDescent="0.45">
      <c r="A108" s="56">
        <v>44958</v>
      </c>
      <c r="B108" s="53">
        <f ca="1">B99*EXP(C108)</f>
        <v>11.5707375271815</v>
      </c>
      <c r="C108" s="50">
        <f ca="1">_xlfn.NORM.INV(RAND(),$C$101,$C$103)</f>
        <v>9.6165726740255839E-3</v>
      </c>
      <c r="D108" s="74"/>
      <c r="F108" s="49">
        <v>44958</v>
      </c>
      <c r="G108" s="53">
        <f ca="1">G99*EXP(H108)</f>
        <v>5.4831557871915946</v>
      </c>
      <c r="H108" s="50">
        <f ca="1">_xlfn.NORM.INV(RAND(),$H$101,$H$103)</f>
        <v>5.3022183196095161E-2</v>
      </c>
    </row>
    <row r="109" spans="1:9" ht="16.5" thickBot="1" x14ac:dyDescent="0.45">
      <c r="A109" s="57">
        <v>44986</v>
      </c>
      <c r="B109" s="53">
        <f ca="1">B108*EXP(C109)</f>
        <v>10.191289083135985</v>
      </c>
      <c r="C109" s="51">
        <f t="shared" ref="C109:C143" ca="1" si="8">_xlfn.NORM.INV(RAND(),$C$101,$C$103)</f>
        <v>-0.12694594000318807</v>
      </c>
      <c r="D109" s="2"/>
      <c r="F109" s="40">
        <v>44986</v>
      </c>
      <c r="G109" s="54">
        <f ca="1">G108*EXP(H109)</f>
        <v>4.1662628071067944</v>
      </c>
      <c r="H109" s="51">
        <f t="shared" ref="H109:H143" ca="1" si="9">_xlfn.NORM.INV(RAND(),$H$101,$H$103)</f>
        <v>-0.27466138413535757</v>
      </c>
    </row>
    <row r="110" spans="1:9" ht="16.5" thickBot="1" x14ac:dyDescent="0.45">
      <c r="A110" s="57">
        <v>45017</v>
      </c>
      <c r="B110" s="53">
        <f t="shared" ref="B109:B143" ca="1" si="10">B101*EXP(C110)</f>
        <v>0</v>
      </c>
      <c r="C110" s="51">
        <f t="shared" ca="1" si="8"/>
        <v>7.0329660758726903E-2</v>
      </c>
      <c r="D110" s="2"/>
      <c r="F110" s="40">
        <v>45017</v>
      </c>
      <c r="G110" s="54">
        <f t="shared" ref="G110:G143" ca="1" si="11">G109*EXP(H110)</f>
        <v>3.8286936752094638</v>
      </c>
      <c r="H110" s="51">
        <f t="shared" ca="1" si="9"/>
        <v>-8.4495756604352337E-2</v>
      </c>
    </row>
    <row r="111" spans="1:9" ht="16.5" thickBot="1" x14ac:dyDescent="0.45">
      <c r="A111" s="57">
        <v>45047</v>
      </c>
      <c r="B111" s="53">
        <f t="shared" ca="1" si="10"/>
        <v>0</v>
      </c>
      <c r="C111" s="51">
        <f t="shared" ca="1" si="8"/>
        <v>3.8653346321378859E-2</v>
      </c>
      <c r="D111" s="2"/>
      <c r="F111" s="40">
        <v>45047</v>
      </c>
      <c r="G111" s="54">
        <f t="shared" ca="1" si="11"/>
        <v>3.5763973290950131</v>
      </c>
      <c r="H111" s="51">
        <f t="shared" ca="1" si="9"/>
        <v>-6.816770697885173E-2</v>
      </c>
    </row>
    <row r="112" spans="1:9" ht="16.5" thickBot="1" x14ac:dyDescent="0.45">
      <c r="A112" s="57">
        <v>45078</v>
      </c>
      <c r="B112" s="53">
        <f t="shared" ca="1" si="10"/>
        <v>0</v>
      </c>
      <c r="C112" s="51">
        <f t="shared" ca="1" si="8"/>
        <v>3.5580019035923116E-2</v>
      </c>
      <c r="D112" s="2"/>
      <c r="F112" s="40">
        <v>45078</v>
      </c>
      <c r="G112" s="54">
        <f t="shared" ca="1" si="11"/>
        <v>3.3217248475911711</v>
      </c>
      <c r="H112" s="51">
        <f t="shared" ca="1" si="9"/>
        <v>-7.3871780639775397E-2</v>
      </c>
    </row>
    <row r="113" spans="1:8" ht="16.5" thickBot="1" x14ac:dyDescent="0.45">
      <c r="A113" s="57">
        <v>45108</v>
      </c>
      <c r="B113" s="53">
        <f t="shared" ca="1" si="10"/>
        <v>0</v>
      </c>
      <c r="C113" s="51">
        <f t="shared" ca="1" si="8"/>
        <v>0.32824561617976339</v>
      </c>
      <c r="D113" s="2"/>
      <c r="F113" s="40">
        <v>45108</v>
      </c>
      <c r="G113" s="54">
        <f t="shared" ca="1" si="11"/>
        <v>3.9484012230679997</v>
      </c>
      <c r="H113" s="51">
        <f t="shared" ca="1" si="9"/>
        <v>0.17282656289934945</v>
      </c>
    </row>
    <row r="114" spans="1:8" ht="16.5" thickBot="1" x14ac:dyDescent="0.45">
      <c r="A114" s="57">
        <v>45139</v>
      </c>
      <c r="B114" s="53">
        <f t="shared" ca="1" si="10"/>
        <v>0</v>
      </c>
      <c r="C114" s="51">
        <f t="shared" ca="1" si="8"/>
        <v>-5.6416521088627256E-2</v>
      </c>
      <c r="D114" s="2"/>
      <c r="F114" s="40">
        <v>45139</v>
      </c>
      <c r="G114" s="54">
        <f t="shared" ca="1" si="11"/>
        <v>3.1964531077646221</v>
      </c>
      <c r="H114" s="51">
        <f t="shared" ca="1" si="9"/>
        <v>-0.21126895207617327</v>
      </c>
    </row>
    <row r="115" spans="1:8" ht="16.5" thickBot="1" x14ac:dyDescent="0.45">
      <c r="A115" s="57">
        <v>45170</v>
      </c>
      <c r="B115" s="53">
        <f t="shared" ca="1" si="10"/>
        <v>0</v>
      </c>
      <c r="C115" s="51">
        <f t="shared" ca="1" si="8"/>
        <v>1.0681482871293474E-2</v>
      </c>
      <c r="D115" s="2"/>
      <c r="F115" s="40">
        <v>45170</v>
      </c>
      <c r="G115" s="54">
        <f t="shared" ca="1" si="11"/>
        <v>3.3154151053238059</v>
      </c>
      <c r="H115" s="51">
        <f t="shared" ca="1" si="9"/>
        <v>3.6541044858941475E-2</v>
      </c>
    </row>
    <row r="116" spans="1:8" ht="16.5" thickBot="1" x14ac:dyDescent="0.45">
      <c r="A116" s="57">
        <v>45200</v>
      </c>
      <c r="B116" s="53">
        <f t="shared" ca="1" si="10"/>
        <v>0</v>
      </c>
      <c r="C116" s="51">
        <f t="shared" ca="1" si="8"/>
        <v>-0.30168161112951214</v>
      </c>
      <c r="D116" s="2"/>
      <c r="F116" s="40">
        <v>45200</v>
      </c>
      <c r="G116" s="54">
        <f t="shared" ca="1" si="11"/>
        <v>2.7973459677954944</v>
      </c>
      <c r="H116" s="51">
        <f t="shared" ca="1" si="9"/>
        <v>-0.16991173708212376</v>
      </c>
    </row>
    <row r="117" spans="1:8" ht="16.5" thickBot="1" x14ac:dyDescent="0.45">
      <c r="A117" s="57">
        <v>45231</v>
      </c>
      <c r="B117" s="53">
        <f t="shared" ca="1" si="10"/>
        <v>12.596497915992813</v>
      </c>
      <c r="C117" s="51">
        <f t="shared" ca="1" si="8"/>
        <v>8.4939548188276523E-2</v>
      </c>
      <c r="D117" s="2"/>
      <c r="F117" s="40">
        <v>45231</v>
      </c>
      <c r="G117" s="54">
        <f t="shared" ca="1" si="11"/>
        <v>2.6158309445527919</v>
      </c>
      <c r="H117" s="51">
        <f t="shared" ca="1" si="9"/>
        <v>-6.7089291160278314E-2</v>
      </c>
    </row>
    <row r="118" spans="1:8" ht="16.5" thickBot="1" x14ac:dyDescent="0.45">
      <c r="A118" s="57">
        <v>45261</v>
      </c>
      <c r="B118" s="53">
        <f t="shared" ca="1" si="10"/>
        <v>9.2667736589354881</v>
      </c>
      <c r="C118" s="51">
        <f t="shared" ca="1" si="8"/>
        <v>-9.5098066067312984E-2</v>
      </c>
      <c r="D118" s="2"/>
      <c r="F118" s="40">
        <v>45261</v>
      </c>
      <c r="G118" s="54">
        <f t="shared" ca="1" si="11"/>
        <v>1.7846562679076439</v>
      </c>
      <c r="H118" s="51">
        <f t="shared" ca="1" si="9"/>
        <v>-0.38235597817517714</v>
      </c>
    </row>
    <row r="119" spans="1:8" ht="16.5" thickBot="1" x14ac:dyDescent="0.45">
      <c r="A119" s="57">
        <v>45292</v>
      </c>
      <c r="B119" s="53">
        <f t="shared" ca="1" si="10"/>
        <v>0</v>
      </c>
      <c r="C119" s="51">
        <f t="shared" ca="1" si="8"/>
        <v>4.3198378668279816E-2</v>
      </c>
      <c r="D119" s="2"/>
      <c r="F119" s="40">
        <v>45292</v>
      </c>
      <c r="G119" s="54">
        <f t="shared" ca="1" si="11"/>
        <v>1.7860640391731157</v>
      </c>
      <c r="H119" s="51">
        <f t="shared" ca="1" si="9"/>
        <v>7.8850832176347333E-4</v>
      </c>
    </row>
    <row r="120" spans="1:8" ht="16.5" thickBot="1" x14ac:dyDescent="0.45">
      <c r="A120" s="57">
        <v>45323</v>
      </c>
      <c r="B120" s="53">
        <f t="shared" ca="1" si="10"/>
        <v>0</v>
      </c>
      <c r="C120" s="51">
        <f t="shared" ca="1" si="8"/>
        <v>0.14354126786551488</v>
      </c>
      <c r="D120" s="2"/>
      <c r="F120" s="40">
        <v>45323</v>
      </c>
      <c r="G120" s="54">
        <f t="shared" ca="1" si="11"/>
        <v>2.5621953837503382</v>
      </c>
      <c r="H120" s="51">
        <f t="shared" ca="1" si="9"/>
        <v>0.36085012475292105</v>
      </c>
    </row>
    <row r="121" spans="1:8" ht="16.5" thickBot="1" x14ac:dyDescent="0.45">
      <c r="A121" s="57">
        <v>45352</v>
      </c>
      <c r="B121" s="53">
        <f t="shared" ca="1" si="10"/>
        <v>0</v>
      </c>
      <c r="C121" s="51">
        <f t="shared" ca="1" si="8"/>
        <v>2.3563222878007883E-2</v>
      </c>
      <c r="D121" s="2"/>
      <c r="F121" s="40">
        <v>45352</v>
      </c>
      <c r="G121" s="54">
        <f t="shared" ca="1" si="11"/>
        <v>2.7598418001494371</v>
      </c>
      <c r="H121" s="51">
        <f t="shared" ca="1" si="9"/>
        <v>7.4308896535475608E-2</v>
      </c>
    </row>
    <row r="122" spans="1:8" ht="16.5" thickBot="1" x14ac:dyDescent="0.45">
      <c r="A122" s="57">
        <v>45383</v>
      </c>
      <c r="B122" s="53">
        <f t="shared" ca="1" si="10"/>
        <v>0</v>
      </c>
      <c r="C122" s="51">
        <f t="shared" ca="1" si="8"/>
        <v>-5.3191573705950707E-2</v>
      </c>
      <c r="D122" s="2"/>
      <c r="F122" s="40">
        <v>45383</v>
      </c>
      <c r="G122" s="54">
        <f t="shared" ca="1" si="11"/>
        <v>2.0358331682936308</v>
      </c>
      <c r="H122" s="51">
        <f t="shared" ca="1" si="9"/>
        <v>-0.3042682048855867</v>
      </c>
    </row>
    <row r="123" spans="1:8" ht="16.5" thickBot="1" x14ac:dyDescent="0.45">
      <c r="A123" s="57">
        <v>45413</v>
      </c>
      <c r="B123" s="53">
        <f t="shared" ca="1" si="10"/>
        <v>0</v>
      </c>
      <c r="C123" s="51">
        <f t="shared" ca="1" si="8"/>
        <v>-3.1399737262271965E-2</v>
      </c>
      <c r="D123" s="2"/>
      <c r="F123" s="40">
        <v>45413</v>
      </c>
      <c r="G123" s="54">
        <f t="shared" ca="1" si="11"/>
        <v>1.6345750520706956</v>
      </c>
      <c r="H123" s="51">
        <f t="shared" ca="1" si="9"/>
        <v>-0.21952229083711056</v>
      </c>
    </row>
    <row r="124" spans="1:8" ht="16.5" thickBot="1" x14ac:dyDescent="0.45">
      <c r="A124" s="57">
        <v>45444</v>
      </c>
      <c r="B124" s="53">
        <f t="shared" ca="1" si="10"/>
        <v>0</v>
      </c>
      <c r="C124" s="51">
        <f t="shared" ca="1" si="8"/>
        <v>2.9884702718066786E-2</v>
      </c>
      <c r="D124" s="2"/>
      <c r="F124" s="40">
        <v>45444</v>
      </c>
      <c r="G124" s="54">
        <f t="shared" ca="1" si="11"/>
        <v>2.0605920375615563</v>
      </c>
      <c r="H124" s="51">
        <f t="shared" ca="1" si="9"/>
        <v>0.23161047480831976</v>
      </c>
    </row>
    <row r="125" spans="1:8" ht="16.5" thickBot="1" x14ac:dyDescent="0.45">
      <c r="A125" s="57">
        <v>45474</v>
      </c>
      <c r="B125" s="53">
        <f t="shared" ca="1" si="10"/>
        <v>0</v>
      </c>
      <c r="C125" s="51">
        <f t="shared" ca="1" si="8"/>
        <v>7.1843237277468844E-2</v>
      </c>
      <c r="D125" s="2"/>
      <c r="F125" s="40">
        <v>45474</v>
      </c>
      <c r="G125" s="54">
        <f t="shared" ca="1" si="11"/>
        <v>2.1615461023305822</v>
      </c>
      <c r="H125" s="51">
        <f t="shared" ca="1" si="9"/>
        <v>4.7830415372489235E-2</v>
      </c>
    </row>
    <row r="126" spans="1:8" ht="16.5" thickBot="1" x14ac:dyDescent="0.45">
      <c r="A126" s="57">
        <v>45505</v>
      </c>
      <c r="B126" s="53">
        <f t="shared" ca="1" si="10"/>
        <v>11.725850172554695</v>
      </c>
      <c r="C126" s="51">
        <f t="shared" ca="1" si="8"/>
        <v>-7.1623011058903147E-2</v>
      </c>
      <c r="D126" s="2"/>
      <c r="F126" s="40">
        <v>45505</v>
      </c>
      <c r="G126" s="54">
        <f t="shared" ca="1" si="11"/>
        <v>2.0880406050642568</v>
      </c>
      <c r="H126" s="51">
        <f t="shared" ca="1" si="9"/>
        <v>-3.4597637056790871E-2</v>
      </c>
    </row>
    <row r="127" spans="1:8" ht="16.5" thickBot="1" x14ac:dyDescent="0.45">
      <c r="A127" s="57">
        <v>45536</v>
      </c>
      <c r="B127" s="53">
        <f t="shared" ca="1" si="10"/>
        <v>8.3123793840778788</v>
      </c>
      <c r="C127" s="51">
        <f t="shared" ca="1" si="8"/>
        <v>-0.10868938219953904</v>
      </c>
      <c r="D127" s="2"/>
      <c r="F127" s="40">
        <v>45536</v>
      </c>
      <c r="G127" s="54">
        <f t="shared" ca="1" si="11"/>
        <v>2.1906443778289328</v>
      </c>
      <c r="H127" s="51">
        <f t="shared" ca="1" si="9"/>
        <v>4.7969620299762435E-2</v>
      </c>
    </row>
    <row r="128" spans="1:8" ht="16.5" thickBot="1" x14ac:dyDescent="0.45">
      <c r="A128" s="57">
        <v>45566</v>
      </c>
      <c r="B128" s="53">
        <f t="shared" ca="1" si="10"/>
        <v>0</v>
      </c>
      <c r="C128" s="51">
        <f t="shared" ca="1" si="8"/>
        <v>0.18818216996206719</v>
      </c>
      <c r="D128" s="2"/>
      <c r="F128" s="40">
        <v>45566</v>
      </c>
      <c r="G128" s="54">
        <f t="shared" ca="1" si="11"/>
        <v>2.4281343305912682</v>
      </c>
      <c r="H128" s="51">
        <f t="shared" ca="1" si="9"/>
        <v>0.10292746028012102</v>
      </c>
    </row>
    <row r="129" spans="1:8" ht="16.5" thickBot="1" x14ac:dyDescent="0.45">
      <c r="A129" s="57">
        <v>45597</v>
      </c>
      <c r="B129" s="53">
        <f t="shared" ca="1" si="10"/>
        <v>0</v>
      </c>
      <c r="C129" s="51">
        <f t="shared" ca="1" si="8"/>
        <v>0.14889362068030582</v>
      </c>
      <c r="D129" s="2"/>
      <c r="F129" s="40">
        <v>45597</v>
      </c>
      <c r="G129" s="54">
        <f t="shared" ca="1" si="11"/>
        <v>1.9858561096774643</v>
      </c>
      <c r="H129" s="51">
        <f t="shared" ca="1" si="9"/>
        <v>-0.20107308661041923</v>
      </c>
    </row>
    <row r="130" spans="1:8" ht="16.5" thickBot="1" x14ac:dyDescent="0.45">
      <c r="A130" s="57">
        <v>45627</v>
      </c>
      <c r="B130" s="53">
        <f t="shared" ca="1" si="10"/>
        <v>0</v>
      </c>
      <c r="C130" s="51">
        <f t="shared" ca="1" si="8"/>
        <v>6.7411593384511127E-3</v>
      </c>
      <c r="D130" s="2"/>
      <c r="F130" s="40">
        <v>45627</v>
      </c>
      <c r="G130" s="54">
        <f t="shared" ca="1" si="11"/>
        <v>1.402128971777983</v>
      </c>
      <c r="H130" s="51">
        <f t="shared" ca="1" si="9"/>
        <v>-0.34805833500672195</v>
      </c>
    </row>
    <row r="131" spans="1:8" ht="16.5" thickBot="1" x14ac:dyDescent="0.45">
      <c r="A131" s="57">
        <v>45658</v>
      </c>
      <c r="B131" s="53">
        <f t="shared" ca="1" si="10"/>
        <v>0</v>
      </c>
      <c r="C131" s="51">
        <f t="shared" ca="1" si="8"/>
        <v>0.17757152464243031</v>
      </c>
      <c r="D131" s="2"/>
      <c r="F131" s="40">
        <v>45658</v>
      </c>
      <c r="G131" s="54">
        <f t="shared" ca="1" si="11"/>
        <v>1.2525457271661651</v>
      </c>
      <c r="H131" s="51">
        <f t="shared" ca="1" si="9"/>
        <v>-0.11281371363794448</v>
      </c>
    </row>
    <row r="132" spans="1:8" ht="16.5" thickBot="1" x14ac:dyDescent="0.45">
      <c r="A132" s="57">
        <v>45689</v>
      </c>
      <c r="B132" s="53">
        <f t="shared" ca="1" si="10"/>
        <v>0</v>
      </c>
      <c r="C132" s="51">
        <f t="shared" ca="1" si="8"/>
        <v>0.13974031514395319</v>
      </c>
      <c r="D132" s="2"/>
      <c r="F132" s="40">
        <v>45689</v>
      </c>
      <c r="G132" s="54">
        <f t="shared" ca="1" si="11"/>
        <v>0.61558996185598003</v>
      </c>
      <c r="H132" s="51">
        <f t="shared" ca="1" si="9"/>
        <v>-0.71035224545315412</v>
      </c>
    </row>
    <row r="133" spans="1:8" ht="16.5" thickBot="1" x14ac:dyDescent="0.45">
      <c r="A133" s="57">
        <v>45717</v>
      </c>
      <c r="B133" s="53">
        <f t="shared" ca="1" si="10"/>
        <v>0</v>
      </c>
      <c r="C133" s="51">
        <f t="shared" ca="1" si="8"/>
        <v>1.3043177709541658E-2</v>
      </c>
      <c r="D133" s="2"/>
      <c r="F133" s="40">
        <v>45717</v>
      </c>
      <c r="G133" s="54">
        <f t="shared" ca="1" si="11"/>
        <v>0.70229409576015223</v>
      </c>
      <c r="H133" s="51">
        <f t="shared" ca="1" si="9"/>
        <v>0.13177116056935953</v>
      </c>
    </row>
    <row r="134" spans="1:8" ht="16.5" thickBot="1" x14ac:dyDescent="0.45">
      <c r="A134" s="57">
        <v>45748</v>
      </c>
      <c r="B134" s="53">
        <f t="shared" ca="1" si="10"/>
        <v>0</v>
      </c>
      <c r="C134" s="51">
        <f t="shared" ca="1" si="8"/>
        <v>-3.916800882549986E-2</v>
      </c>
      <c r="D134" s="2"/>
      <c r="F134" s="40">
        <v>45748</v>
      </c>
      <c r="G134" s="54">
        <f t="shared" ca="1" si="11"/>
        <v>0.6508553396542146</v>
      </c>
      <c r="H134" s="51">
        <f t="shared" ca="1" si="9"/>
        <v>-7.6064851121315807E-2</v>
      </c>
    </row>
    <row r="135" spans="1:8" ht="16.5" thickBot="1" x14ac:dyDescent="0.45">
      <c r="A135" s="57">
        <v>45778</v>
      </c>
      <c r="B135" s="53">
        <f t="shared" ca="1" si="10"/>
        <v>11.966524373742779</v>
      </c>
      <c r="C135" s="51">
        <f t="shared" ca="1" si="8"/>
        <v>2.0317294891851134E-2</v>
      </c>
      <c r="D135" s="2"/>
      <c r="F135" s="40">
        <v>45778</v>
      </c>
      <c r="G135" s="54">
        <f t="shared" ca="1" si="11"/>
        <v>1.0786304780248506</v>
      </c>
      <c r="H135" s="51">
        <f t="shared" ca="1" si="9"/>
        <v>0.50516003452377523</v>
      </c>
    </row>
    <row r="136" spans="1:8" ht="16.5" thickBot="1" x14ac:dyDescent="0.45">
      <c r="A136" s="57">
        <v>45809</v>
      </c>
      <c r="B136" s="53">
        <f t="shared" ca="1" si="10"/>
        <v>9.9654888162756237</v>
      </c>
      <c r="C136" s="51">
        <f t="shared" ca="1" si="8"/>
        <v>0.18138211008526658</v>
      </c>
      <c r="D136" s="2"/>
      <c r="F136" s="40">
        <v>45809</v>
      </c>
      <c r="G136" s="54">
        <f t="shared" ca="1" si="11"/>
        <v>1.2515670116017723</v>
      </c>
      <c r="H136" s="51">
        <f t="shared" ca="1" si="9"/>
        <v>0.14870421493897143</v>
      </c>
    </row>
    <row r="137" spans="1:8" ht="16.5" thickBot="1" x14ac:dyDescent="0.45">
      <c r="A137" s="57">
        <v>45839</v>
      </c>
      <c r="B137" s="53">
        <f t="shared" ca="1" si="10"/>
        <v>0</v>
      </c>
      <c r="C137" s="51">
        <f t="shared" ca="1" si="8"/>
        <v>-5.746386247752501E-2</v>
      </c>
      <c r="D137" s="2"/>
      <c r="F137" s="40">
        <v>45839</v>
      </c>
      <c r="G137" s="54">
        <f t="shared" ca="1" si="11"/>
        <v>1.2581260988009717</v>
      </c>
      <c r="H137" s="51">
        <f t="shared" ca="1" si="9"/>
        <v>5.2270152918563236E-3</v>
      </c>
    </row>
    <row r="138" spans="1:8" ht="16.5" thickBot="1" x14ac:dyDescent="0.45">
      <c r="A138" s="57">
        <v>45870</v>
      </c>
      <c r="B138" s="53">
        <f t="shared" ca="1" si="10"/>
        <v>0</v>
      </c>
      <c r="C138" s="51">
        <f t="shared" ca="1" si="8"/>
        <v>0.23743503266175905</v>
      </c>
      <c r="D138" s="2"/>
      <c r="F138" s="40">
        <v>45870</v>
      </c>
      <c r="G138" s="54">
        <f t="shared" ca="1" si="11"/>
        <v>1.5578735379199042</v>
      </c>
      <c r="H138" s="51">
        <f t="shared" ca="1" si="9"/>
        <v>0.21369838387926532</v>
      </c>
    </row>
    <row r="139" spans="1:8" ht="16.5" thickBot="1" x14ac:dyDescent="0.45">
      <c r="A139" s="57">
        <v>45901</v>
      </c>
      <c r="B139" s="53">
        <f t="shared" ca="1" si="10"/>
        <v>0</v>
      </c>
      <c r="C139" s="51">
        <f t="shared" ca="1" si="8"/>
        <v>0.16538136028729941</v>
      </c>
      <c r="D139" s="2"/>
      <c r="F139" s="40">
        <v>45901</v>
      </c>
      <c r="G139" s="54">
        <f t="shared" ca="1" si="11"/>
        <v>1.740566261865288</v>
      </c>
      <c r="H139" s="51">
        <f t="shared" ca="1" si="9"/>
        <v>0.11088872348192452</v>
      </c>
    </row>
    <row r="140" spans="1:8" ht="16.5" thickBot="1" x14ac:dyDescent="0.45">
      <c r="A140" s="57">
        <v>45931</v>
      </c>
      <c r="B140" s="53">
        <f t="shared" ca="1" si="10"/>
        <v>0</v>
      </c>
      <c r="C140" s="51">
        <f t="shared" ca="1" si="8"/>
        <v>5.651279504105395E-2</v>
      </c>
      <c r="D140" s="2"/>
      <c r="F140" s="40">
        <v>45931</v>
      </c>
      <c r="G140" s="54">
        <f t="shared" ca="1" si="11"/>
        <v>1.714089803448986</v>
      </c>
      <c r="H140" s="51">
        <f t="shared" ca="1" si="9"/>
        <v>-1.532828525598489E-2</v>
      </c>
    </row>
    <row r="141" spans="1:8" ht="16.5" thickBot="1" x14ac:dyDescent="0.45">
      <c r="A141" s="57">
        <v>45962</v>
      </c>
      <c r="B141" s="53">
        <f t="shared" ca="1" si="10"/>
        <v>0</v>
      </c>
      <c r="C141" s="51">
        <f t="shared" ca="1" si="8"/>
        <v>1.2908810313361597E-2</v>
      </c>
      <c r="D141" s="2"/>
      <c r="F141" s="40">
        <v>45962</v>
      </c>
      <c r="G141" s="54">
        <f t="shared" ca="1" si="11"/>
        <v>1.735170934965699</v>
      </c>
      <c r="H141" s="51">
        <f t="shared" ca="1" si="9"/>
        <v>1.2223717259297271E-2</v>
      </c>
    </row>
    <row r="142" spans="1:8" ht="16.5" thickBot="1" x14ac:dyDescent="0.45">
      <c r="A142" s="57">
        <v>45992</v>
      </c>
      <c r="B142" s="53">
        <f t="shared" ca="1" si="10"/>
        <v>0</v>
      </c>
      <c r="C142" s="51">
        <f t="shared" ca="1" si="8"/>
        <v>7.2135498951267057E-2</v>
      </c>
      <c r="D142" s="2"/>
      <c r="F142" s="40">
        <v>45992</v>
      </c>
      <c r="G142" s="54">
        <f t="shared" ca="1" si="11"/>
        <v>1.3347448016368961</v>
      </c>
      <c r="H142" s="51">
        <f t="shared" ca="1" si="9"/>
        <v>-0.26236581638365647</v>
      </c>
    </row>
    <row r="143" spans="1:8" ht="16.5" thickBot="1" x14ac:dyDescent="0.45">
      <c r="A143" s="58">
        <v>46023</v>
      </c>
      <c r="B143" s="53">
        <f t="shared" ca="1" si="10"/>
        <v>0</v>
      </c>
      <c r="C143" s="52">
        <f t="shared" ca="1" si="8"/>
        <v>3.3153453533466902E-2</v>
      </c>
      <c r="D143" s="2"/>
      <c r="F143" s="41">
        <v>46023</v>
      </c>
      <c r="G143" s="55">
        <f t="shared" ca="1" si="11"/>
        <v>1.4431873391425827</v>
      </c>
      <c r="H143" s="52">
        <f t="shared" ca="1" si="9"/>
        <v>7.811398376438837E-2</v>
      </c>
    </row>
  </sheetData>
  <mergeCells count="7">
    <mergeCell ref="F101:G101"/>
    <mergeCell ref="F102:G102"/>
    <mergeCell ref="F103:G103"/>
    <mergeCell ref="A106:H106"/>
    <mergeCell ref="A101:B101"/>
    <mergeCell ref="A102:B102"/>
    <mergeCell ref="A103:B10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3BC19-272B-4C8D-B7E4-433E5ABACA81}">
  <dimension ref="B1:N38"/>
  <sheetViews>
    <sheetView zoomScale="80" zoomScaleNormal="80" workbookViewId="0">
      <selection activeCell="C3" sqref="C3"/>
    </sheetView>
  </sheetViews>
  <sheetFormatPr baseColWidth="10" defaultRowHeight="16" x14ac:dyDescent="0.4"/>
  <cols>
    <col min="2" max="2" width="11.83203125" customWidth="1"/>
    <col min="3" max="7" width="13.83203125" bestFit="1" customWidth="1"/>
    <col min="9" max="9" width="11.83203125" customWidth="1"/>
    <col min="10" max="14" width="13.83203125" bestFit="1" customWidth="1"/>
  </cols>
  <sheetData>
    <row r="1" spans="2:14" ht="16.5" thickBot="1" x14ac:dyDescent="0.45"/>
    <row r="2" spans="2:14" ht="19" thickBot="1" x14ac:dyDescent="0.5">
      <c r="B2" s="38" t="s">
        <v>1</v>
      </c>
      <c r="C2" s="34" t="s">
        <v>9</v>
      </c>
      <c r="D2" s="33" t="s">
        <v>10</v>
      </c>
      <c r="E2" s="33" t="s">
        <v>11</v>
      </c>
      <c r="F2" s="33" t="s">
        <v>12</v>
      </c>
      <c r="G2" s="33" t="s">
        <v>13</v>
      </c>
      <c r="I2" s="42" t="s">
        <v>2</v>
      </c>
      <c r="J2" s="34" t="s">
        <v>9</v>
      </c>
      <c r="K2" s="33" t="s">
        <v>10</v>
      </c>
      <c r="L2" s="33" t="s">
        <v>11</v>
      </c>
      <c r="M2" s="33" t="s">
        <v>12</v>
      </c>
      <c r="N2" s="34" t="s">
        <v>13</v>
      </c>
    </row>
    <row r="3" spans="2:14" x14ac:dyDescent="0.4">
      <c r="B3" s="39">
        <v>44958</v>
      </c>
      <c r="C3" s="35">
        <v>0.18268440002882849</v>
      </c>
      <c r="D3" s="32">
        <v>0.10514935278932097</v>
      </c>
      <c r="E3" s="32">
        <v>-6.1009986484539692E-3</v>
      </c>
      <c r="F3" s="32">
        <v>-4.8143283452210008E-2</v>
      </c>
      <c r="G3" s="20">
        <v>5.5925411329534831E-2</v>
      </c>
      <c r="I3" s="39">
        <v>44958</v>
      </c>
      <c r="J3" s="35">
        <v>-0.2004282601812156</v>
      </c>
      <c r="K3" s="32">
        <v>-2.9050622837676201E-2</v>
      </c>
      <c r="L3" s="32">
        <v>-0.41398765516001729</v>
      </c>
      <c r="M3" s="32">
        <v>0.30124920194415611</v>
      </c>
      <c r="N3" s="20">
        <v>-4.8797065611870492E-3</v>
      </c>
    </row>
    <row r="4" spans="2:14" x14ac:dyDescent="0.4">
      <c r="B4" s="40">
        <v>44986</v>
      </c>
      <c r="C4" s="36">
        <v>2.0368678674439436E-2</v>
      </c>
      <c r="D4" s="4">
        <v>0.10935853610588236</v>
      </c>
      <c r="E4" s="4">
        <v>-5.1261688854556994E-2</v>
      </c>
      <c r="F4" s="4">
        <v>-0.10226637273719533</v>
      </c>
      <c r="G4" s="13">
        <v>9.2426418673293667E-2</v>
      </c>
      <c r="I4" s="40">
        <v>44986</v>
      </c>
      <c r="J4" s="36">
        <v>-0.20893255587376189</v>
      </c>
      <c r="K4" s="4">
        <v>0.33755913263652476</v>
      </c>
      <c r="L4" s="4">
        <v>0.14859395687002688</v>
      </c>
      <c r="M4" s="4">
        <v>0.25346817837620622</v>
      </c>
      <c r="N4" s="13">
        <v>-8.26385195106559E-2</v>
      </c>
    </row>
    <row r="5" spans="2:14" x14ac:dyDescent="0.4">
      <c r="B5" s="40">
        <v>45017</v>
      </c>
      <c r="C5" s="36">
        <v>-1.8177519409637896E-2</v>
      </c>
      <c r="D5" s="4">
        <v>-7.1247955888812414E-2</v>
      </c>
      <c r="E5" s="4">
        <v>-0.17040151029052211</v>
      </c>
      <c r="F5" s="4">
        <v>-5.2255083533073773E-2</v>
      </c>
      <c r="G5" s="13">
        <v>7.5830144892260434E-2</v>
      </c>
      <c r="I5" s="40">
        <v>45017</v>
      </c>
      <c r="J5" s="36">
        <v>-0.18037002483120887</v>
      </c>
      <c r="K5" s="4">
        <v>0.33509824006236161</v>
      </c>
      <c r="L5" s="4">
        <v>-0.27245299734582656</v>
      </c>
      <c r="M5" s="4">
        <v>-9.3338009814178807E-2</v>
      </c>
      <c r="N5" s="13">
        <v>-3.2957657462393403E-2</v>
      </c>
    </row>
    <row r="6" spans="2:14" x14ac:dyDescent="0.4">
      <c r="B6" s="40">
        <v>45047</v>
      </c>
      <c r="C6" s="36">
        <v>-4.8940912124654269E-2</v>
      </c>
      <c r="D6" s="4">
        <v>-2.2268022394389825E-3</v>
      </c>
      <c r="E6" s="4">
        <v>-9.4170263355597816E-3</v>
      </c>
      <c r="F6" s="4">
        <v>4.2893763788905921E-2</v>
      </c>
      <c r="G6" s="13">
        <v>-1.6352083507645873E-2</v>
      </c>
      <c r="I6" s="40">
        <v>45047</v>
      </c>
      <c r="J6" s="36">
        <v>-0.13975647343992023</v>
      </c>
      <c r="K6" s="4">
        <v>-0.16407445500968607</v>
      </c>
      <c r="L6" s="4">
        <v>-0.32548670297197529</v>
      </c>
      <c r="M6" s="4">
        <v>0.25903067798557461</v>
      </c>
      <c r="N6" s="13">
        <v>-0.11615077810725781</v>
      </c>
    </row>
    <row r="7" spans="2:14" x14ac:dyDescent="0.4">
      <c r="B7" s="40">
        <v>45078</v>
      </c>
      <c r="C7" s="36">
        <v>9.623207556158303E-2</v>
      </c>
      <c r="D7" s="4">
        <v>0.11401493979517835</v>
      </c>
      <c r="E7" s="4">
        <v>0.12575347504478412</v>
      </c>
      <c r="F7" s="4">
        <v>0.12063842772929928</v>
      </c>
      <c r="G7" s="13">
        <v>2.9074054550600706E-2</v>
      </c>
      <c r="I7" s="40">
        <v>45078</v>
      </c>
      <c r="J7" s="36">
        <v>-0.13647177011458553</v>
      </c>
      <c r="K7" s="4">
        <v>0.14812874032562831</v>
      </c>
      <c r="L7" s="4">
        <v>3.5161270621611035E-2</v>
      </c>
      <c r="M7" s="4">
        <v>-6.5896606524038365E-2</v>
      </c>
      <c r="N7" s="13">
        <v>-6.7548885094001893E-2</v>
      </c>
    </row>
    <row r="8" spans="2:14" x14ac:dyDescent="0.4">
      <c r="B8" s="40">
        <v>45108</v>
      </c>
      <c r="C8" s="36">
        <v>0.1929539048842154</v>
      </c>
      <c r="D8" s="4">
        <v>-9.6832902231672763E-2</v>
      </c>
      <c r="E8" s="4">
        <v>-0.16214364036843179</v>
      </c>
      <c r="F8" s="4">
        <v>-4.3014956604584577E-2</v>
      </c>
      <c r="G8" s="13">
        <v>-4.0741871957853427E-2</v>
      </c>
      <c r="I8" s="40">
        <v>45108</v>
      </c>
      <c r="J8" s="36">
        <v>0.4235550726624206</v>
      </c>
      <c r="K8" s="4">
        <v>-0.17158777573436965</v>
      </c>
      <c r="L8" s="4">
        <v>6.2309768869308751E-2</v>
      </c>
      <c r="M8" s="4">
        <v>0.39841475099441598</v>
      </c>
      <c r="N8" s="13">
        <v>0.33295991069811864</v>
      </c>
    </row>
    <row r="9" spans="2:14" x14ac:dyDescent="0.4">
      <c r="B9" s="40">
        <v>45139</v>
      </c>
      <c r="C9" s="36">
        <v>-0.18487762823044321</v>
      </c>
      <c r="D9" s="4">
        <v>-9.9055296191200598E-2</v>
      </c>
      <c r="E9" s="4">
        <v>0.16101791520211844</v>
      </c>
      <c r="F9" s="4">
        <v>-0.10958068192396311</v>
      </c>
      <c r="G9" s="13">
        <v>0.14779150119009427</v>
      </c>
      <c r="I9" s="40">
        <v>45139</v>
      </c>
      <c r="J9" s="36">
        <v>-4.5716306980611993E-2</v>
      </c>
      <c r="K9" s="4">
        <v>0.31713568514154761</v>
      </c>
      <c r="L9" s="4">
        <v>4.9098893574264363E-2</v>
      </c>
      <c r="M9" s="4">
        <v>-8.2215216574841182E-2</v>
      </c>
      <c r="N9" s="13">
        <v>-0.11063239808587241</v>
      </c>
    </row>
    <row r="10" spans="2:14" x14ac:dyDescent="0.4">
      <c r="B10" s="40">
        <v>45170</v>
      </c>
      <c r="C10" s="36">
        <v>8.0382739765790759E-2</v>
      </c>
      <c r="D10" s="4">
        <v>-0.10341697994137647</v>
      </c>
      <c r="E10" s="4">
        <v>0.13419640167283359</v>
      </c>
      <c r="F10" s="4">
        <v>0.12741784307307097</v>
      </c>
      <c r="G10" s="13">
        <v>-0.3670768073379993</v>
      </c>
      <c r="I10" s="40">
        <v>45170</v>
      </c>
      <c r="J10" s="36">
        <v>0.12903157666718471</v>
      </c>
      <c r="K10" s="4">
        <v>-0.19712566391186556</v>
      </c>
      <c r="L10" s="4">
        <v>1.1460963283607272E-2</v>
      </c>
      <c r="M10" s="4">
        <v>-0.10533044915442588</v>
      </c>
      <c r="N10" s="13">
        <v>-0.20067827117978596</v>
      </c>
    </row>
    <row r="11" spans="2:14" x14ac:dyDescent="0.4">
      <c r="B11" s="40">
        <v>45200</v>
      </c>
      <c r="C11" s="36">
        <v>2.868609230516013E-2</v>
      </c>
      <c r="D11" s="4">
        <v>4.3250597668683624E-2</v>
      </c>
      <c r="E11" s="4">
        <v>0.18847027790341522</v>
      </c>
      <c r="F11" s="4">
        <v>-2.4333939068147445E-2</v>
      </c>
      <c r="G11" s="13">
        <v>0.11270840518134645</v>
      </c>
      <c r="I11" s="40">
        <v>45200</v>
      </c>
      <c r="J11" s="36">
        <v>-0.11093094063122408</v>
      </c>
      <c r="K11" s="4">
        <v>-0.39987330874660981</v>
      </c>
      <c r="L11" s="4">
        <v>-0.13559575118430076</v>
      </c>
      <c r="M11" s="4">
        <v>5.9411602156469595E-2</v>
      </c>
      <c r="N11" s="13">
        <v>-0.32523571153811642</v>
      </c>
    </row>
    <row r="12" spans="2:14" x14ac:dyDescent="0.4">
      <c r="B12" s="40">
        <v>45231</v>
      </c>
      <c r="C12" s="36">
        <v>-2.1668608455930369E-2</v>
      </c>
      <c r="D12" s="4">
        <v>0.26719477140884845</v>
      </c>
      <c r="E12" s="4">
        <v>-0.31021642094403507</v>
      </c>
      <c r="F12" s="4">
        <v>-0.11940096733726095</v>
      </c>
      <c r="G12" s="13">
        <v>0.16661930753341875</v>
      </c>
      <c r="I12" s="40">
        <v>45231</v>
      </c>
      <c r="J12" s="36">
        <v>0.15928364282066468</v>
      </c>
      <c r="K12" s="4">
        <v>-7.1627005676564298E-2</v>
      </c>
      <c r="L12" s="4">
        <v>-0.23142570226278625</v>
      </c>
      <c r="M12" s="4">
        <v>-6.1114778513147033E-2</v>
      </c>
      <c r="N12" s="13">
        <v>8.0133101979154159E-2</v>
      </c>
    </row>
    <row r="13" spans="2:14" x14ac:dyDescent="0.4">
      <c r="B13" s="40">
        <v>45261</v>
      </c>
      <c r="C13" s="36">
        <v>-0.12781162327430212</v>
      </c>
      <c r="D13" s="4">
        <v>2.1409194273455071E-2</v>
      </c>
      <c r="E13" s="4">
        <v>0.14607601410259957</v>
      </c>
      <c r="F13" s="4">
        <v>-0.11893803999102674</v>
      </c>
      <c r="G13" s="13">
        <v>2.183573128585704E-3</v>
      </c>
      <c r="I13" s="40">
        <v>45261</v>
      </c>
      <c r="J13" s="36">
        <v>-9.1883534063672417E-2</v>
      </c>
      <c r="K13" s="4">
        <v>0.41069960515946152</v>
      </c>
      <c r="L13" s="4">
        <v>-0.15463653981365497</v>
      </c>
      <c r="M13" s="4">
        <v>7.5156167345849095E-2</v>
      </c>
      <c r="N13" s="13">
        <v>-0.17178876496851445</v>
      </c>
    </row>
    <row r="14" spans="2:14" x14ac:dyDescent="0.4">
      <c r="B14" s="40">
        <v>45292</v>
      </c>
      <c r="C14" s="36">
        <v>-2.3833600566850507E-2</v>
      </c>
      <c r="D14" s="4">
        <v>-0.15604076721048912</v>
      </c>
      <c r="E14" s="4">
        <v>0.11967573304444085</v>
      </c>
      <c r="F14" s="4">
        <v>-0.14262472719112412</v>
      </c>
      <c r="G14" s="13">
        <v>5.193983819934074E-2</v>
      </c>
      <c r="I14" s="40">
        <v>45292</v>
      </c>
      <c r="J14" s="36">
        <v>-3.1460287668014647E-2</v>
      </c>
      <c r="K14" s="4">
        <v>8.0235571620869452E-3</v>
      </c>
      <c r="L14" s="4">
        <v>5.2282857173704553E-2</v>
      </c>
      <c r="M14" s="4">
        <v>-0.20924433429550846</v>
      </c>
      <c r="N14" s="13">
        <v>-5.1818536216305805E-2</v>
      </c>
    </row>
    <row r="15" spans="2:14" x14ac:dyDescent="0.4">
      <c r="B15" s="40">
        <v>45323</v>
      </c>
      <c r="C15" s="36">
        <v>0.2578825351929292</v>
      </c>
      <c r="D15" s="4">
        <v>-0.10640330397565848</v>
      </c>
      <c r="E15" s="4">
        <v>1.8414588380418716E-2</v>
      </c>
      <c r="F15" s="4">
        <v>-0.15048706696236042</v>
      </c>
      <c r="G15" s="13">
        <v>6.1532229706225912E-2</v>
      </c>
      <c r="I15" s="40">
        <v>45323</v>
      </c>
      <c r="J15" s="36">
        <v>-0.16350947917468148</v>
      </c>
      <c r="K15" s="4">
        <v>7.5117699414840901E-3</v>
      </c>
      <c r="L15" s="4">
        <v>0.17929236618860159</v>
      </c>
      <c r="M15" s="4">
        <v>0.19923834169807378</v>
      </c>
      <c r="N15" s="13">
        <v>7.4222057624720034E-2</v>
      </c>
    </row>
    <row r="16" spans="2:14" x14ac:dyDescent="0.4">
      <c r="B16" s="40">
        <v>45352</v>
      </c>
      <c r="C16" s="36">
        <v>-0.10228093738534952</v>
      </c>
      <c r="D16" s="4">
        <v>-3.8954418373596846E-2</v>
      </c>
      <c r="E16" s="4">
        <v>-0.12964277080302128</v>
      </c>
      <c r="F16" s="4">
        <v>0.20840842448249455</v>
      </c>
      <c r="G16" s="13">
        <v>2.4689381502848117E-2</v>
      </c>
      <c r="I16" s="40">
        <v>45352</v>
      </c>
      <c r="J16" s="36">
        <v>2.3960287668014647E-2</v>
      </c>
      <c r="K16" s="4">
        <v>-0.1817578309820965</v>
      </c>
      <c r="L16" s="4">
        <v>-0.13837062815960963</v>
      </c>
      <c r="M16" s="4">
        <v>-0.63734650084748867</v>
      </c>
      <c r="N16" s="13">
        <v>3.7695450733590402E-2</v>
      </c>
    </row>
    <row r="17" spans="2:14" x14ac:dyDescent="0.4">
      <c r="B17" s="40">
        <v>45383</v>
      </c>
      <c r="C17" s="36">
        <v>1.083040483079385E-2</v>
      </c>
      <c r="D17" s="4">
        <v>-5.521541966574732E-2</v>
      </c>
      <c r="E17" s="4">
        <v>3.975208350764587E-2</v>
      </c>
      <c r="F17" s="4">
        <v>-0.18599710706896147</v>
      </c>
      <c r="G17" s="13">
        <v>0.15523603546624071</v>
      </c>
      <c r="I17" s="40">
        <v>45383</v>
      </c>
      <c r="J17" s="36">
        <v>-6.8428335547796454E-2</v>
      </c>
      <c r="K17" s="4">
        <v>-0.14364242870593444</v>
      </c>
      <c r="L17" s="4">
        <v>5.1754402553197007E-2</v>
      </c>
      <c r="M17" s="4">
        <v>4.9285911605547877E-2</v>
      </c>
      <c r="N17" s="13">
        <v>-0.17688653825112852</v>
      </c>
    </row>
    <row r="18" spans="2:14" x14ac:dyDescent="0.4">
      <c r="B18" s="40">
        <v>45413</v>
      </c>
      <c r="C18" s="36">
        <v>9.9753743097418923E-3</v>
      </c>
      <c r="D18" s="4">
        <v>8.0338046286650935E-2</v>
      </c>
      <c r="E18" s="4">
        <v>1.0724739736341872E-2</v>
      </c>
      <c r="F18" s="4">
        <v>-2.9877215597499153E-2</v>
      </c>
      <c r="G18" s="13">
        <v>0.2132358913922682</v>
      </c>
      <c r="I18" s="40">
        <v>45413</v>
      </c>
      <c r="J18" s="36">
        <v>-0.39127489126636644</v>
      </c>
      <c r="K18" s="4">
        <v>8.2718754943780365E-2</v>
      </c>
      <c r="L18" s="4">
        <v>0.12548068516101921</v>
      </c>
      <c r="M18" s="4">
        <v>4.3760913645965044E-2</v>
      </c>
      <c r="N18" s="13">
        <v>0.12122240959419288</v>
      </c>
    </row>
    <row r="19" spans="2:14" x14ac:dyDescent="0.4">
      <c r="B19" s="40">
        <v>45444</v>
      </c>
      <c r="C19" s="36">
        <v>-2.8539838199340736E-2</v>
      </c>
      <c r="D19" s="4">
        <v>0.17198166828618849</v>
      </c>
      <c r="E19" s="4">
        <v>3.3323933207592922E-2</v>
      </c>
      <c r="F19" s="4">
        <v>-5.2616343923564998E-2</v>
      </c>
      <c r="G19" s="13">
        <v>0.20939710706896145</v>
      </c>
      <c r="I19" s="40">
        <v>45444</v>
      </c>
      <c r="J19" s="36">
        <v>0.25617663086071846</v>
      </c>
      <c r="K19" s="4">
        <v>-0.33774998756067359</v>
      </c>
      <c r="L19" s="4">
        <v>0.29982021751115101</v>
      </c>
      <c r="M19" s="4">
        <v>-2.8120679966523312E-2</v>
      </c>
      <c r="N19" s="13">
        <v>-0.1742805412542657</v>
      </c>
    </row>
    <row r="20" spans="2:14" x14ac:dyDescent="0.4">
      <c r="B20" s="40">
        <v>45474</v>
      </c>
      <c r="C20" s="36">
        <v>9.9674187408690329E-2</v>
      </c>
      <c r="D20" s="4">
        <v>0.12662678277136291</v>
      </c>
      <c r="E20" s="4">
        <v>1.4798985871474725E-2</v>
      </c>
      <c r="F20" s="4">
        <v>-0.14701068535489031</v>
      </c>
      <c r="G20" s="13">
        <v>0.2442557361473329</v>
      </c>
      <c r="I20" s="40">
        <v>45474</v>
      </c>
      <c r="J20" s="36">
        <v>-0.16117506275273627</v>
      </c>
      <c r="K20" s="4">
        <v>6.7619806391885501E-2</v>
      </c>
      <c r="L20" s="4">
        <v>2.8873739116388606E-2</v>
      </c>
      <c r="M20" s="4">
        <v>-1.6828761639917502E-2</v>
      </c>
      <c r="N20" s="13">
        <v>0.26359607490652709</v>
      </c>
    </row>
    <row r="21" spans="2:14" x14ac:dyDescent="0.4">
      <c r="B21" s="40">
        <v>45505</v>
      </c>
      <c r="C21" s="36">
        <v>-0.21343176372740416</v>
      </c>
      <c r="D21" s="4">
        <v>2.7726681805669798E-2</v>
      </c>
      <c r="E21" s="4">
        <v>-8.4290312729554701E-2</v>
      </c>
      <c r="F21" s="4">
        <v>0.20821251568575386</v>
      </c>
      <c r="G21" s="13">
        <v>0.22429931236272674</v>
      </c>
      <c r="I21" s="40">
        <v>45505</v>
      </c>
      <c r="J21" s="36">
        <v>0.17560641972144367</v>
      </c>
      <c r="K21" s="4">
        <v>-0.20070327227964299</v>
      </c>
      <c r="L21" s="4">
        <v>2.4509086320758801E-2</v>
      </c>
      <c r="M21" s="4">
        <v>0.31663762401498391</v>
      </c>
      <c r="N21" s="13">
        <v>7.1867297170538219E-2</v>
      </c>
    </row>
    <row r="22" spans="2:14" x14ac:dyDescent="0.4">
      <c r="B22" s="40">
        <v>45536</v>
      </c>
      <c r="C22" s="36">
        <v>0.11401493979517835</v>
      </c>
      <c r="D22" s="4">
        <v>0.26936176258912309</v>
      </c>
      <c r="E22" s="4">
        <v>0.12190355304935946</v>
      </c>
      <c r="F22" s="4">
        <v>-0.11247704783729276</v>
      </c>
      <c r="G22" s="13">
        <v>-0.23435231010355054</v>
      </c>
      <c r="I22" s="40">
        <v>45536</v>
      </c>
      <c r="J22" s="36">
        <v>3.0875557020772259E-3</v>
      </c>
      <c r="K22" s="4">
        <v>0.2095147741746041</v>
      </c>
      <c r="L22" s="4">
        <v>0.11485742370117806</v>
      </c>
      <c r="M22" s="4">
        <v>0.32077604136778975</v>
      </c>
      <c r="N22" s="13">
        <v>-0.26680814117222323</v>
      </c>
    </row>
    <row r="23" spans="2:14" x14ac:dyDescent="0.4">
      <c r="B23" s="40">
        <v>45566</v>
      </c>
      <c r="C23" s="36">
        <v>0.14210729027125052</v>
      </c>
      <c r="D23" s="4">
        <v>-0.141506961840624</v>
      </c>
      <c r="E23" s="4">
        <v>6.3670519962196692E-2</v>
      </c>
      <c r="F23" s="4">
        <v>0.16580026026074773</v>
      </c>
      <c r="G23" s="13">
        <v>-3.4261010614689419E-3</v>
      </c>
      <c r="I23" s="40">
        <v>45566</v>
      </c>
      <c r="J23" s="36">
        <v>-3.3257180443033579E-2</v>
      </c>
      <c r="K23" s="4">
        <v>-0.31714319866674484</v>
      </c>
      <c r="L23" s="4">
        <v>-0.26929060332273363</v>
      </c>
      <c r="M23" s="4">
        <v>-0.10715871585867717</v>
      </c>
      <c r="N23" s="13">
        <v>-0.37601539643597787</v>
      </c>
    </row>
    <row r="24" spans="2:14" x14ac:dyDescent="0.4">
      <c r="B24" s="40">
        <v>45597</v>
      </c>
      <c r="C24" s="36">
        <v>0.15126531256553716</v>
      </c>
      <c r="D24" s="4">
        <v>-6.8495522969006559E-2</v>
      </c>
      <c r="E24" s="4">
        <v>0.13545467304082121</v>
      </c>
      <c r="F24" s="4">
        <v>-5.5836273490986785E-2</v>
      </c>
      <c r="G24" s="13">
        <v>-1.1928550111595521E-3</v>
      </c>
      <c r="I24" s="40">
        <v>45597</v>
      </c>
      <c r="J24" s="36">
        <v>-2.9764869945356622E-2</v>
      </c>
      <c r="K24" s="4">
        <v>-0.32167084882908964</v>
      </c>
      <c r="L24" s="4">
        <v>-9.9779714768519628E-2</v>
      </c>
      <c r="M24" s="4">
        <v>0.14166473046847386</v>
      </c>
      <c r="N24" s="13">
        <v>0.17726678688253741</v>
      </c>
    </row>
    <row r="25" spans="2:14" x14ac:dyDescent="0.4">
      <c r="B25" s="40">
        <v>45627</v>
      </c>
      <c r="C25" s="36">
        <v>3.4641605493542733E-2</v>
      </c>
      <c r="D25" s="4">
        <v>-6.3033494329848325E-2</v>
      </c>
      <c r="E25" s="4">
        <v>0.23808832160737362</v>
      </c>
      <c r="F25" s="4">
        <v>-8.7211381428479201E-2</v>
      </c>
      <c r="G25" s="13">
        <v>0.1567978797947755</v>
      </c>
      <c r="I25" s="40">
        <v>45627</v>
      </c>
      <c r="J25" s="36">
        <v>-4.0387381924665532E-3</v>
      </c>
      <c r="K25" s="4">
        <v>0.40478758036973889</v>
      </c>
      <c r="L25" s="4">
        <v>0.51154325719457117</v>
      </c>
      <c r="M25" s="4">
        <v>9.403126241144491E-2</v>
      </c>
      <c r="N25" s="13">
        <v>0.13384992589257308</v>
      </c>
    </row>
    <row r="26" spans="2:14" x14ac:dyDescent="0.4">
      <c r="B26" s="40">
        <v>45658</v>
      </c>
      <c r="C26" s="36">
        <v>-0.18005415945937855</v>
      </c>
      <c r="D26" s="4">
        <v>-6.9345698607340453E-2</v>
      </c>
      <c r="E26" s="4">
        <v>-0.14845172877814622</v>
      </c>
      <c r="F26" s="4">
        <v>6.8099743698420923E-2</v>
      </c>
      <c r="G26" s="13">
        <v>-0.30373715158477427</v>
      </c>
      <c r="I26" s="40">
        <v>45658</v>
      </c>
      <c r="J26" s="36">
        <v>8.5406618287233865E-2</v>
      </c>
      <c r="K26" s="4">
        <v>0.1089909891523712</v>
      </c>
      <c r="L26" s="4">
        <v>-0.15600914921757067</v>
      </c>
      <c r="M26" s="4">
        <v>0.30442238075542266</v>
      </c>
      <c r="N26" s="13">
        <v>6.270733537880005E-2</v>
      </c>
    </row>
    <row r="27" spans="2:14" x14ac:dyDescent="0.4">
      <c r="B27" s="40">
        <v>45689</v>
      </c>
      <c r="C27" s="36">
        <v>-4.1340022066852534E-2</v>
      </c>
      <c r="D27" s="4">
        <v>-1.0099565729452293E-2</v>
      </c>
      <c r="E27" s="4">
        <v>-0.10614942216763737</v>
      </c>
      <c r="F27" s="4">
        <v>1.4904650965926703E-2</v>
      </c>
      <c r="G27" s="13">
        <v>-3.0354422010551198E-2</v>
      </c>
      <c r="I27" s="40">
        <v>45689</v>
      </c>
      <c r="J27" s="36">
        <v>0.17298522597760893</v>
      </c>
      <c r="K27" s="4">
        <v>-2.9814627036248566E-2</v>
      </c>
      <c r="L27" s="4">
        <v>1.3578213289147243E-2</v>
      </c>
      <c r="M27" s="4">
        <v>0.24732280998781789</v>
      </c>
      <c r="N27" s="13">
        <v>-9.6801887688488936E-2</v>
      </c>
    </row>
    <row r="28" spans="2:14" x14ac:dyDescent="0.4">
      <c r="B28" s="40">
        <v>45717</v>
      </c>
      <c r="C28" s="36">
        <v>-0.30771701308824123</v>
      </c>
      <c r="D28" s="4">
        <v>1.6587010618404022E-2</v>
      </c>
      <c r="E28" s="4">
        <v>-0.1929978479484096</v>
      </c>
      <c r="F28" s="4">
        <v>0.10374857633449136</v>
      </c>
      <c r="G28" s="13">
        <v>3.5482356947776857E-2</v>
      </c>
      <c r="I28" s="40">
        <v>45717</v>
      </c>
      <c r="J28" s="36">
        <v>-0.15947890970361187</v>
      </c>
      <c r="K28" s="4">
        <v>0.49553470980376013</v>
      </c>
      <c r="L28" s="4">
        <v>-0.35029759838304014</v>
      </c>
      <c r="M28" s="4">
        <v>-0.15245311042614049</v>
      </c>
      <c r="N28" s="13">
        <v>0.28996390155574775</v>
      </c>
    </row>
    <row r="29" spans="2:14" x14ac:dyDescent="0.4">
      <c r="B29" s="40">
        <v>45748</v>
      </c>
      <c r="C29" s="36">
        <v>0.30833447639904915</v>
      </c>
      <c r="D29" s="4">
        <v>4.8144605029828383E-2</v>
      </c>
      <c r="E29" s="4">
        <v>8.937428942753468E-3</v>
      </c>
      <c r="F29" s="4">
        <v>-0.20415037029581143</v>
      </c>
      <c r="G29" s="13">
        <v>-0.17433853459353557</v>
      </c>
      <c r="I29" s="40">
        <v>45748</v>
      </c>
      <c r="J29" s="36">
        <v>-3.0820784597017335E-3</v>
      </c>
      <c r="K29" s="4">
        <v>-1.956769703247113E-4</v>
      </c>
      <c r="L29" s="4">
        <v>-0.36889743624138643</v>
      </c>
      <c r="M29" s="4">
        <v>9.8826816516375399E-2</v>
      </c>
      <c r="N29" s="13">
        <v>0.14625316761870635</v>
      </c>
    </row>
    <row r="30" spans="2:14" x14ac:dyDescent="0.4">
      <c r="B30" s="40">
        <v>45778</v>
      </c>
      <c r="C30" s="36">
        <v>9.8828866653074499E-2</v>
      </c>
      <c r="D30" s="4">
        <v>1.4414900260628204E-3</v>
      </c>
      <c r="E30" s="4">
        <v>-5.106563726714812E-2</v>
      </c>
      <c r="F30" s="4">
        <v>7.726421285932884E-3</v>
      </c>
      <c r="G30" s="13">
        <v>-1.2121317513636293E-3</v>
      </c>
      <c r="I30" s="40">
        <v>45778</v>
      </c>
      <c r="J30" s="36">
        <v>0.20351745151478098</v>
      </c>
      <c r="K30" s="4">
        <v>-3.3623618132114647E-2</v>
      </c>
      <c r="L30" s="4">
        <v>-5.4782146984653085E-2</v>
      </c>
      <c r="M30" s="4">
        <v>9.2006663540669248E-2</v>
      </c>
      <c r="N30" s="13">
        <v>-0.13565531262807781</v>
      </c>
    </row>
    <row r="31" spans="2:14" x14ac:dyDescent="0.4">
      <c r="B31" s="40">
        <v>45809</v>
      </c>
      <c r="C31" s="36">
        <v>6.9047159781784273E-2</v>
      </c>
      <c r="D31" s="4">
        <v>-0.1121483437191462</v>
      </c>
      <c r="E31" s="4">
        <v>-9.6248031654814242E-2</v>
      </c>
      <c r="F31" s="4">
        <v>-1.4591474569006819E-2</v>
      </c>
      <c r="G31" s="13">
        <v>0.1760337818677537</v>
      </c>
      <c r="I31" s="40">
        <v>45809</v>
      </c>
      <c r="J31" s="36">
        <v>-0.14122859702561982</v>
      </c>
      <c r="K31" s="4">
        <v>3.1370676841470423E-3</v>
      </c>
      <c r="L31" s="4">
        <v>0.19009480219741817</v>
      </c>
      <c r="M31" s="4">
        <v>-0.37077987199532797</v>
      </c>
      <c r="N31" s="13">
        <v>1.4256674508797005E-2</v>
      </c>
    </row>
    <row r="32" spans="2:14" x14ac:dyDescent="0.4">
      <c r="B32" s="40">
        <v>45839</v>
      </c>
      <c r="C32" s="36">
        <v>-0.12920925833443181</v>
      </c>
      <c r="D32" s="4">
        <v>-8.7352008950081651E-3</v>
      </c>
      <c r="E32" s="4">
        <v>0.18883353736326094</v>
      </c>
      <c r="F32" s="4">
        <v>8.546080429821741E-2</v>
      </c>
      <c r="G32" s="13">
        <v>7.4335126596433113E-2</v>
      </c>
      <c r="I32" s="40">
        <v>45839</v>
      </c>
      <c r="J32" s="36">
        <v>-0.12977760307345307</v>
      </c>
      <c r="K32" s="4">
        <v>0.10242427869874518</v>
      </c>
      <c r="L32" s="4">
        <v>-0.22048600531357809</v>
      </c>
      <c r="M32" s="4">
        <v>-0.15522725207498297</v>
      </c>
      <c r="N32" s="13">
        <v>-0.12784565533744172</v>
      </c>
    </row>
    <row r="33" spans="2:14" x14ac:dyDescent="0.4">
      <c r="B33" s="40">
        <v>45870</v>
      </c>
      <c r="C33" s="36">
        <v>9.2935039033344949E-2</v>
      </c>
      <c r="D33" s="4">
        <v>0.3245052339889109</v>
      </c>
      <c r="E33" s="4">
        <v>7.4400381931790618E-2</v>
      </c>
      <c r="F33" s="4">
        <v>9.3528191468957814E-2</v>
      </c>
      <c r="G33" s="13">
        <v>-0.13104497516453267</v>
      </c>
      <c r="I33" s="40">
        <v>45870</v>
      </c>
      <c r="J33" s="36">
        <v>-5.3086469999107065E-3</v>
      </c>
      <c r="K33" s="4">
        <v>0.10223799599392805</v>
      </c>
      <c r="L33" s="4">
        <v>2.6123618132114647E-2</v>
      </c>
      <c r="M33" s="4">
        <v>-0.12138017482735451</v>
      </c>
      <c r="N33" s="13">
        <v>4.4572223847208076E-2</v>
      </c>
    </row>
    <row r="34" spans="2:14" x14ac:dyDescent="0.4">
      <c r="B34" s="40">
        <v>45901</v>
      </c>
      <c r="C34" s="36">
        <v>0.20360837338101115</v>
      </c>
      <c r="D34" s="4">
        <v>-3.1331395762227467E-2</v>
      </c>
      <c r="E34" s="4">
        <v>0.10137682333604897</v>
      </c>
      <c r="F34" s="4">
        <v>-6.6654665674851274E-2</v>
      </c>
      <c r="G34" s="13">
        <v>0.20469586710985746</v>
      </c>
      <c r="I34" s="40">
        <v>45901</v>
      </c>
      <c r="J34" s="36">
        <v>-0.26635763115715233</v>
      </c>
      <c r="K34" s="4">
        <v>0.66605201518163082</v>
      </c>
      <c r="L34" s="4">
        <v>-5.7806299632065933E-2</v>
      </c>
      <c r="M34" s="4">
        <v>-0.18296621747518657</v>
      </c>
      <c r="N34" s="13">
        <v>9.2152258181013164E-2</v>
      </c>
    </row>
    <row r="35" spans="2:14" x14ac:dyDescent="0.4">
      <c r="B35" s="40">
        <v>45931</v>
      </c>
      <c r="C35" s="36">
        <v>-0.16161931303488089</v>
      </c>
      <c r="D35" s="4">
        <v>2.2324910828482824E-2</v>
      </c>
      <c r="E35" s="4">
        <v>0.18331781943286765</v>
      </c>
      <c r="F35" s="4">
        <v>0.17313798711709677</v>
      </c>
      <c r="G35" s="13">
        <v>-0.14628759341123515</v>
      </c>
      <c r="I35" s="40">
        <v>45931</v>
      </c>
      <c r="J35" s="36">
        <v>-3.2025753720663491E-2</v>
      </c>
      <c r="K35" s="4">
        <v>8.1272858002048448E-2</v>
      </c>
      <c r="L35" s="4">
        <v>0.10382286963780643</v>
      </c>
      <c r="M35" s="4">
        <v>-8.7419612195080848E-2</v>
      </c>
      <c r="N35" s="13">
        <v>-8.0860009897296553E-2</v>
      </c>
    </row>
    <row r="36" spans="2:14" x14ac:dyDescent="0.4">
      <c r="B36" s="40">
        <v>45962</v>
      </c>
      <c r="C36" s="36">
        <v>0.14997220027451402</v>
      </c>
      <c r="D36" s="4">
        <v>-2.404364563974086E-2</v>
      </c>
      <c r="E36" s="4">
        <v>-0.11733135939268395</v>
      </c>
      <c r="F36" s="4">
        <v>-0.14020099838946481</v>
      </c>
      <c r="G36" s="13">
        <v>-9.5305613244837134E-2</v>
      </c>
      <c r="I36" s="40">
        <v>45962</v>
      </c>
      <c r="J36" s="36">
        <v>0.42379037713166329</v>
      </c>
      <c r="K36" s="4">
        <v>0.23251725669601003</v>
      </c>
      <c r="L36" s="4">
        <v>-3.5522966394783001E-2</v>
      </c>
      <c r="M36" s="4">
        <v>-0.22273904560657687</v>
      </c>
      <c r="N36" s="13">
        <v>9.4451869150216222E-2</v>
      </c>
    </row>
    <row r="37" spans="2:14" x14ac:dyDescent="0.4">
      <c r="B37" s="40">
        <v>45992</v>
      </c>
      <c r="C37" s="36">
        <v>-3.3426134864403857E-2</v>
      </c>
      <c r="D37" s="4">
        <v>-0.1023826043410925</v>
      </c>
      <c r="E37" s="4">
        <v>5.3033614717586892E-2</v>
      </c>
      <c r="F37" s="4">
        <v>1.707749656359665E-2</v>
      </c>
      <c r="G37" s="13">
        <v>9.7987544036167662E-2</v>
      </c>
      <c r="I37" s="40">
        <v>45992</v>
      </c>
      <c r="J37" s="36">
        <v>6.1998725774028568E-2</v>
      </c>
      <c r="K37" s="4">
        <v>-0.11747559129085859</v>
      </c>
      <c r="L37" s="4">
        <v>-0.24249824819358767</v>
      </c>
      <c r="M37" s="4">
        <v>-0.12455090255039979</v>
      </c>
      <c r="N37" s="13">
        <v>6.7685999927925879E-3</v>
      </c>
    </row>
    <row r="38" spans="2:14" ht="16.5" thickBot="1" x14ac:dyDescent="0.45">
      <c r="B38" s="41">
        <v>46023</v>
      </c>
      <c r="C38" s="37">
        <v>-0.17223494246993212</v>
      </c>
      <c r="D38" s="16">
        <v>-4.0699891501408993E-2</v>
      </c>
      <c r="E38" s="16">
        <v>1.2968430791981539E-3</v>
      </c>
      <c r="F38" s="16">
        <v>-0.22096311472980304</v>
      </c>
      <c r="G38" s="15">
        <v>0.10451693291995906</v>
      </c>
      <c r="I38" s="41">
        <v>46023</v>
      </c>
      <c r="J38" s="37">
        <v>-0.15723910528700799</v>
      </c>
      <c r="K38" s="16">
        <v>0.23305894719291248</v>
      </c>
      <c r="L38" s="16">
        <v>-0.32863488068338481</v>
      </c>
      <c r="M38" s="16">
        <v>-3.250812788261101E-2</v>
      </c>
      <c r="N38" s="15">
        <v>-0.20869921227509622</v>
      </c>
    </row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B34C-3058-4661-B25D-91853A1B54DA}">
  <dimension ref="B1:H21"/>
  <sheetViews>
    <sheetView tabSelected="1" zoomScale="119" zoomScaleNormal="70" workbookViewId="0">
      <selection activeCell="F16" sqref="F16"/>
    </sheetView>
  </sheetViews>
  <sheetFormatPr baseColWidth="10" defaultRowHeight="16" x14ac:dyDescent="0.4"/>
  <cols>
    <col min="2" max="2" width="23.25" bestFit="1" customWidth="1"/>
    <col min="7" max="7" width="23.25" bestFit="1" customWidth="1"/>
  </cols>
  <sheetData>
    <row r="1" spans="2:8" ht="16.5" thickBot="1" x14ac:dyDescent="0.45"/>
    <row r="2" spans="2:8" ht="16.5" thickBot="1" x14ac:dyDescent="0.45">
      <c r="B2" s="70" t="s">
        <v>1</v>
      </c>
      <c r="C2" s="71"/>
      <c r="G2" s="70" t="s">
        <v>2</v>
      </c>
      <c r="H2" s="71"/>
    </row>
    <row r="3" spans="2:8" ht="32.5" thickBot="1" x14ac:dyDescent="0.45">
      <c r="B3" s="18" t="s">
        <v>14</v>
      </c>
      <c r="C3" s="19" t="s">
        <v>15</v>
      </c>
      <c r="G3" s="18" t="s">
        <v>14</v>
      </c>
      <c r="H3" s="19" t="s">
        <v>15</v>
      </c>
    </row>
    <row r="4" spans="2:8" x14ac:dyDescent="0.4">
      <c r="B4" s="27">
        <v>2015</v>
      </c>
      <c r="C4" s="28">
        <f>SUM(RETORNOS!D4:D15)</f>
        <v>-0.70073248692592083</v>
      </c>
      <c r="G4" s="27">
        <v>2015</v>
      </c>
      <c r="H4" s="28">
        <f>SUM(RETORNOS!I4:I15)</f>
        <v>-1.1106605872641235</v>
      </c>
    </row>
    <row r="5" spans="2:8" x14ac:dyDescent="0.4">
      <c r="B5" s="12">
        <v>2016</v>
      </c>
      <c r="C5" s="29">
        <f>SUM(RETORNOS!D16:D27)</f>
        <v>0.43601450332565339</v>
      </c>
      <c r="G5" s="12">
        <v>2016</v>
      </c>
      <c r="H5" s="29">
        <f>SUM(RETORNOS!I16:I27)</f>
        <v>0.66237552189319171</v>
      </c>
    </row>
    <row r="6" spans="2:8" x14ac:dyDescent="0.4">
      <c r="B6" s="12">
        <v>2017</v>
      </c>
      <c r="C6" s="29">
        <f>SUM(RETORNOS!D28:D39)</f>
        <v>-0.16665128875349483</v>
      </c>
      <c r="G6" s="12">
        <v>2017</v>
      </c>
      <c r="H6" s="29">
        <f>SUM(RETORNOS!I28:I39)</f>
        <v>0.11778303565638334</v>
      </c>
    </row>
    <row r="7" spans="2:8" x14ac:dyDescent="0.4">
      <c r="B7" s="12">
        <v>2018</v>
      </c>
      <c r="C7" s="29">
        <f>SUM(RETORNOS!D40:D51)</f>
        <v>0.61338230579554265</v>
      </c>
      <c r="G7" s="12">
        <v>2018</v>
      </c>
      <c r="H7" s="29">
        <f>SUM(RETORNOS!I40:I51)</f>
        <v>-0.98826423149924425</v>
      </c>
    </row>
    <row r="8" spans="2:8" x14ac:dyDescent="0.4">
      <c r="B8" s="12">
        <v>2019</v>
      </c>
      <c r="C8" s="29">
        <f>SUM(RETORNOS!D52:D63)</f>
        <v>7.642615721267898E-2</v>
      </c>
      <c r="G8" s="12">
        <v>2019</v>
      </c>
      <c r="H8" s="29">
        <f>SUM(RETORNOS!I52:I63)</f>
        <v>7.4349784875179376E-3</v>
      </c>
    </row>
    <row r="9" spans="2:8" x14ac:dyDescent="0.4">
      <c r="B9" s="12">
        <v>2020</v>
      </c>
      <c r="C9" s="29">
        <f>SUM(RETORNOS!D64:D75)</f>
        <v>-4.700792788106474E-2</v>
      </c>
      <c r="G9" s="12">
        <v>2020</v>
      </c>
      <c r="H9" s="29">
        <f>SUM(RETORNOS!I64:I75)</f>
        <v>0.67822153034326949</v>
      </c>
    </row>
    <row r="10" spans="2:8" x14ac:dyDescent="0.4">
      <c r="B10" s="12">
        <v>2021</v>
      </c>
      <c r="C10" s="29">
        <f>SUM(RETORNOS!D76:D87)</f>
        <v>6.6330541689283345E-2</v>
      </c>
      <c r="G10" s="12">
        <v>2021</v>
      </c>
      <c r="H10" s="29">
        <f>SUM(RETORNOS!I76:I87)</f>
        <v>-0.4187103348581851</v>
      </c>
    </row>
    <row r="11" spans="2:8" ht="16.5" thickBot="1" x14ac:dyDescent="0.45">
      <c r="B11" s="11">
        <v>2022</v>
      </c>
      <c r="C11" s="30">
        <f>SUM(RETORNOS!D88:D99)</f>
        <v>0.12632728743937977</v>
      </c>
      <c r="G11" s="11">
        <v>2022</v>
      </c>
      <c r="H11" s="30">
        <f>SUM(RETORNOS!I88:I99)</f>
        <v>-1.2135422553420865</v>
      </c>
    </row>
    <row r="12" spans="2:8" ht="16.5" thickBot="1" x14ac:dyDescent="0.45"/>
    <row r="13" spans="2:8" ht="16.5" thickBot="1" x14ac:dyDescent="0.45">
      <c r="B13" s="24" t="s">
        <v>16</v>
      </c>
      <c r="C13" s="6">
        <f>AVERAGE(C4:C11)</f>
        <v>5.0511136487757215E-2</v>
      </c>
      <c r="G13" s="21" t="s">
        <v>16</v>
      </c>
      <c r="H13" s="6">
        <f>AVERAGE(H4:H11)</f>
        <v>-0.28317029282290962</v>
      </c>
    </row>
    <row r="14" spans="2:8" ht="16.5" thickBot="1" x14ac:dyDescent="0.45">
      <c r="B14" s="24" t="s">
        <v>17</v>
      </c>
      <c r="C14" s="22">
        <f>_xlfn.VAR.S(C4:C11)</f>
        <v>0.15616331403974781</v>
      </c>
      <c r="G14" s="21" t="s">
        <v>17</v>
      </c>
      <c r="H14" s="22">
        <f>_xlfn.VAR.S(H4:H11)</f>
        <v>0.58991526601416844</v>
      </c>
    </row>
    <row r="15" spans="2:8" ht="16.5" thickBot="1" x14ac:dyDescent="0.45">
      <c r="B15" s="24" t="s">
        <v>18</v>
      </c>
      <c r="C15" s="23">
        <f>SQRT(C14)</f>
        <v>0.39517504227841593</v>
      </c>
      <c r="G15" s="21" t="s">
        <v>18</v>
      </c>
      <c r="H15" s="23">
        <f>SQRT(H14)</f>
        <v>0.76805941567965197</v>
      </c>
    </row>
    <row r="17" spans="2:8" ht="16.5" thickBot="1" x14ac:dyDescent="0.45"/>
    <row r="18" spans="2:8" ht="16.5" thickBot="1" x14ac:dyDescent="0.45">
      <c r="B18" s="25" t="s">
        <v>19</v>
      </c>
      <c r="C18" s="26">
        <f>C15/(SQRT(8))</f>
        <v>0.13971547607537424</v>
      </c>
      <c r="G18" s="21" t="s">
        <v>19</v>
      </c>
      <c r="H18" s="26">
        <f>H15/(SQRT(8))</f>
        <v>0.27155001059062961</v>
      </c>
    </row>
    <row r="19" spans="2:8" ht="16.5" thickBot="1" x14ac:dyDescent="0.45"/>
    <row r="20" spans="2:8" ht="16" customHeight="1" thickBot="1" x14ac:dyDescent="0.45">
      <c r="B20" s="72" t="s">
        <v>20</v>
      </c>
      <c r="C20" s="6">
        <f>C13+(1.96*C18)</f>
        <v>0.32435346959549072</v>
      </c>
      <c r="G20" s="72" t="s">
        <v>20</v>
      </c>
      <c r="H20" s="6">
        <f>H13+(1.96*H18)</f>
        <v>0.24906772793472443</v>
      </c>
    </row>
    <row r="21" spans="2:8" ht="16.5" thickBot="1" x14ac:dyDescent="0.45">
      <c r="B21" s="73"/>
      <c r="C21" s="6">
        <f>C13-(1.96*C18)</f>
        <v>-0.22333119661997627</v>
      </c>
      <c r="G21" s="73"/>
      <c r="H21" s="6">
        <f>H13-(1.96*H18)</f>
        <v>-0.81540831358054366</v>
      </c>
    </row>
  </sheetData>
  <mergeCells count="4">
    <mergeCell ref="B2:C2"/>
    <mergeCell ref="G2:H2"/>
    <mergeCell ref="B20:B21"/>
    <mergeCell ref="G20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PRECIOS</vt:lpstr>
      <vt:lpstr>RETORNOS</vt:lpstr>
      <vt:lpstr>ESCENARIOS</vt:lpstr>
      <vt:lpstr>RETORNOS ANUALES 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Pincheira L.</dc:creator>
  <cp:lastModifiedBy>kiara martinez</cp:lastModifiedBy>
  <dcterms:created xsi:type="dcterms:W3CDTF">2026-10-16T16:06:40Z</dcterms:created>
  <dcterms:modified xsi:type="dcterms:W3CDTF">2026-10-19T20:04:36Z</dcterms:modified>
</cp:coreProperties>
</file>