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Supuestos" state="visible" r:id="rId5"/>
    <sheet sheetId="3" name="Betas" state="visible" r:id="rId6"/>
    <sheet sheetId="4" name="Datos" state="visible" r:id="rId7"/>
    <sheet sheetId="5" name="WACC" state="visible" r:id="rId8"/>
  </sheets>
  <calcPr calcId="171027"/>
</workbook>
</file>

<file path=xl/comments5.xml><?xml version="1.0" encoding="utf-8"?>
<comments xmlns="http://schemas.openxmlformats.org/spreadsheetml/2006/main">
  <authors>
    <author>Author</author>
  </authors>
  <commentList>
    <comment ref="J2" authorId="0">
      <text>
        <r>
          <t>Primer año: no hay balance 2019 en el repositorio, se usa solo el saldo de cierre.</t>
        </r>
      </text>
    </comment>
    <comment ref="J8" authorId="0">
      <text>
        <r>
          <t>Primer año: no hay balance 2019 en el repositorio, se usa solo el saldo de cierre.</t>
        </r>
      </text>
    </comment>
    <comment ref="J14" authorId="0">
      <text>
        <r>
          <t>Primer año: no hay balance 2019 en el repositorio, se usa solo el saldo de cierre.</t>
        </r>
      </text>
    </comment>
    <comment ref="J20" authorId="0">
      <text>
        <r>
          <t>Primer año: no hay balance 2019 en el repositorio, se usa solo el saldo de cierre.</t>
        </r>
      </text>
    </comment>
    <comment ref="J26" authorId="0">
      <text>
        <r>
          <t>Primer año: no hay balance 2019 en el repositorio, se usa solo el saldo de cierre.</t>
        </r>
      </text>
    </comment>
  </commentList>
</comments>
</file>

<file path=xl/sharedStrings.xml><?xml version="1.0" encoding="utf-8"?>
<sst xmlns="http://schemas.openxmlformats.org/spreadsheetml/2006/main" count="230" uniqueCount="94">
  <si>
    <t>WACC base (USD)</t>
  </si>
  <si>
    <t>Empresa</t>
  </si>
  <si>
    <t>SQM</t>
  </si>
  <si>
    <t>CAP</t>
  </si>
  <si>
    <t>Molymet</t>
  </si>
  <si>
    <t>Enaex</t>
  </si>
  <si>
    <t>Minera Valparaíso</t>
  </si>
  <si>
    <t>Ke base (USD): tasa para descontar flujos del accionista, consistente con V = capitalización bursátil</t>
  </si>
  <si>
    <t>WACC con industria alternativa (sensibilidad del beta)</t>
  </si>
  <si>
    <t>Fórmulas en la hoja WACC. Supuestos y fuentes en Supuestos, Betas y Datos.</t>
  </si>
  <si>
    <t>Año</t>
  </si>
  <si>
    <t>Rf (T-Bond 10 años EE.UU.)</t>
  </si>
  <si>
    <t>ERP implícita (Damodaran)</t>
  </si>
  <si>
    <t>Riesgo país Chile (CRP)</t>
  </si>
  <si>
    <t>Rating Moody's Chile</t>
  </si>
  <si>
    <t>Fuente Rf y ERP</t>
  </si>
  <si>
    <t>Fuente CRP</t>
  </si>
  <si>
    <t/>
  </si>
  <si>
    <t>Tasa de impuesto (t)</t>
  </si>
  <si>
    <t>Valor</t>
  </si>
  <si>
    <t>A1</t>
  </si>
  <si>
    <t>https://pages.stern.nyu.edu/~adamodar/pc/datasets/histimpl.xls</t>
  </si>
  <si>
    <t>https://pages.stern.nyu.edu/~adamodar/pc/archives/ctryprem20.xlsx</t>
  </si>
  <si>
    <t>Tasa legal Chile (régimen general)</t>
  </si>
  <si>
    <t>https://pages.stern.nyu.edu/~adamodar/pc/archives/ctryprem21.xlsx</t>
  </si>
  <si>
    <t>A2</t>
  </si>
  <si>
    <t>https://pages.stern.nyu.edu/~adamodar/pc/archives/ctryprem22.xlsx</t>
  </si>
  <si>
    <t>https://pages.stern.nyu.edu/~adamodar/pc/archives/ctryprem23.xlsx</t>
  </si>
  <si>
    <t>https://pages.stern.nyu.edu/~adamodar/pc/archives/ctryprem24.xlsx</t>
  </si>
  <si>
    <t>https://pages.stern.nyu.edu/~adamodar/pc/datasets/ctryprem.xlsx</t>
  </si>
  <si>
    <t>Notas</t>
  </si>
  <si>
    <t>Rf y ERP: columnas "T.Bond Rate" e "Implied ERP (FCFE)" de histimpl.xls, valor al cierre de cada año.</t>
  </si>
  <si>
    <t>CRP: columna "Country Risk Premium" (basada en rating) de cada archivo anual ctryprem; cada archivo se publica el 1 de enero siguiente y refleja el cierre del año.</t>
  </si>
  <si>
    <t>Control: la ERP madura de cada ctryprem (Total ERP − CRP) coincide con la ERP implícita de histimpl para ese año.</t>
  </si>
  <si>
    <t>No se usa "Rf ajustada" por default spread de EE.UU.: se usa el rendimiento del T-Bond tal cual.</t>
  </si>
  <si>
    <t>Todas las empresas reportan en USD, así que Ke y WACC son tasas en USD (sin ajuste por devaluación del peso).</t>
  </si>
  <si>
    <t>Industria (Damodaran, mercados emergentes)</t>
  </si>
  <si>
    <t>Fuente</t>
  </si>
  <si>
    <t>Chemical (Basic)</t>
  </si>
  <si>
    <t>Unlevered beta, hoja "Industry Averages" de betaemerg (un archivo por año, ver Supuestos)</t>
  </si>
  <si>
    <t>Chemical (Specialty)</t>
  </si>
  <si>
    <t>Metals &amp; Mining</t>
  </si>
  <si>
    <t>Steel</t>
  </si>
  <si>
    <t>Power</t>
  </si>
  <si>
    <t>Investments &amp; Asset Management</t>
  </si>
  <si>
    <t>Acciones en circulación (serie única o A)</t>
  </si>
  <si>
    <t>Precio cierre CLP (serie única o A)</t>
  </si>
  <si>
    <t>Acciones serie B</t>
  </si>
  <si>
    <t>Precio cierre CLP serie B</t>
  </si>
  <si>
    <t>Dólar observado (CLP/USD)</t>
  </si>
  <si>
    <t>Deuda financiera D (MUS$)</t>
  </si>
  <si>
    <t>Costos financieros (MUS$)</t>
  </si>
  <si>
    <t>Patrimonio total (MUS$)</t>
  </si>
  <si>
    <t>Patrimonio controladora (MUS$)</t>
  </si>
  <si>
    <t>Industria base</t>
  </si>
  <si>
    <t>Industria alternativa</t>
  </si>
  <si>
    <t>Fuentes (archivo, página del PDF)</t>
  </si>
  <si>
    <t>prestamos_que_devengan_intereses_total: Estados_financieros_sqm_20_21.pdf p.93 | costos_financieros: Estados_financieros_sqm_20_21.pdf p.11 | patrimonio_total: Estados_financieros_sqm_20_21.pdf p.10 | patrimonio_atribuible_controladora: Estados_financieros_sqm_20_21.pdf p.10</t>
  </si>
  <si>
    <t>prestamos_que_devengan_intereses_total: Estados_financieros_sqm_22_23.pdf p.90 | costos_financieros: Estados_financieros_sqm_22_23.pdf p.12 | patrimonio_total: Estados_financieros_sqm_22_23.pdf p.11 | patrimonio_atribuible_controladora: Estados_financieros_sqm_22_23.pdf p.11</t>
  </si>
  <si>
    <t>prestamos_que_devengan_intereses_total: Estados_financieros_sqm_24_25.pdf p.102 | costos_financieros: Estados_financieros_sqm_24_25.pdf p.19 | patrimonio_total: Estados_financieros_sqm_24_25.pdf p.18 | patrimonio_atribuible_controladora: Estados_financieros_sqm_24_25.pdf p.18</t>
  </si>
  <si>
    <t>prestamos_que_devengan_intereses_total: Estados_financieros_(PDF)_CAP_20_21.pdf p.91 | costos_financieros: Estados_financieros_(PDF)_CAP_20_21.pdf p.6 | patrimonio_total: Estados_financieros_(PDF)_CAP_20_21.pdf p.5 | patrimonio_atribuible_controladora: Estados_financieros_(PDF)_CAP_20_21.pdf p.5</t>
  </si>
  <si>
    <t>prestamos_que_devengan_intereses_total: Estados_financieros_(PDF)_22_23.pdf p.89 | costos_financieros: Estados_financieros_(PDF)_22_23.pdf p.7 | patrimonio_total: Estados_financieros_(PDF)_22_23.pdf p.6 | patrimonio_atribuible_controladora: Estados_financieros_(PDF)_22_23.pdf p.6</t>
  </si>
  <si>
    <t>prestamos_que_devengan_intereses_total: Estados_financieros_(PDF)_24_25.pdf p.101 | costos_financieros: Estados_financieros_(PDF)_24_25.pdf p.9 | patrimonio_total: Estados_financieros_(PDF)_24_25.pdf p.8 | patrimonio_atribuible_controladora: Estados_financieros_(PDF)_24_25.pdf p.8</t>
  </si>
  <si>
    <t>prestamos_que_devengan_intereses_total: Estados_financieros_molymet_20_21.pdf p.60 | costos_financieros: Estados_financieros_molymet_20_21.pdf p.7 | patrimonio_total: Estados_financieros_molymet_20_21.pdf p.6 | patrimonio_atribuible_controladora: Estados_financieros_molymet_20_21.pdf p.6</t>
  </si>
  <si>
    <t>prestamos_que_devengan_intereses_total: Estados_financieros_molymet_22_23.pdf p.59 | costos_financieros: Estados_financieros_molymet_22_23.pdf p.7 | patrimonio_total: Estados_financieros_molymet_22_23.pdf p.6 | patrimonio_atribuible_controladora: Estados_financieros_molymet_22_23.pdf p.6</t>
  </si>
  <si>
    <t>prestamos_que_devengan_intereses_total: Estados_financieros_molymet_24_25.pdf p.65 | costos_financieros: Estados_financieros_molymet_24_25.pdf p.8 | patrimonio_total: Estados_financieros_molymet_24_25.pdf p.7 | patrimonio_atribuible_controladora: Estados_financieros_molymet_24_25.pdf p.7</t>
  </si>
  <si>
    <t>prestamos_que_devengan_intereses_total: Estados_financieros_enaex_20_21.pdf p.90 | costos_financieros: Estados_financieros_enaex_20_21.pdf p.10 | patrimonio_total: Estados_financieros_enaex_20_21.pdf p.9 | patrimonio_atribuible_controladora: Estados_financieros_enaex_20_21.pdf p.9</t>
  </si>
  <si>
    <t>prestamos_que_devengan_intereses_total: Estados_financieros_enaex_22_23.pdf p.84 | costos_financieros: Estados_financieros_enaex_22_23.pdf p.9 | patrimonio_total: Estados_financieros_enaex_22_23.pdf p.8 | patrimonio_atribuible_controladora: Estados_financieros_enaex_22_23.pdf p.8</t>
  </si>
  <si>
    <t>prestamos_que_devengan_intereses_total: Estados_financieros_enaex_24_25.pdf p.86 | costos_financieros: Estados_financieros_enaex_24_25.pdf p.11 | patrimonio_total: Estados_financieros_enaex_24_25.pdf p.10 | patrimonio_atribuible_controladora: Estados_financieros_enaex_24_25.pdf p.10</t>
  </si>
  <si>
    <t>prestamos_que_devengan_intereses_total: Estados_financieros_mineraval_20_21.pdf p.95 | costos_financieros: Estados_financieros_mineraval_20_21.pdf p.11 | patrimonio_total: Estados_financieros_mineraval_20_21.pdf p.10 | patrimonio_atribuible_controladora: Estados_financieros_mineraval_20_21.pdf p.10</t>
  </si>
  <si>
    <t>prestamos_que_devengan_intereses_total: Estados_financieros_mineraval_22_23.pdf p.100 | costos_financieros: Estados_financieros_mineraval_22_23.pdf p.12 | patrimonio_total: Estados_financieros_mineraval_22_23.pdf p.11 | patrimonio_atribuible_controladora: Estados_financieros_mineraval_22_23.pdf p.11</t>
  </si>
  <si>
    <t>prestamos_que_devengan_intereses_total: Estados_financieros_mineraval_24_25.pdf p.109 | costos_financieros: Estados_financieros_mineraval_24_25.pdf p.14 | patrimonio_total: Estados_financieros_mineraval_24_25.pdf p.13 | patrimonio_atribuible_controladora: Estados_financieros_mineraval_24_25.pdf p.13</t>
  </si>
  <si>
    <t>Precios: Yahoo Finance (Bolsa de Santiago), último cierre de cada año. Dólar: mindicador.cl (Banco Central de Chile). Datos contables: estados financieros consolidados auditados de este repositorio; detalle línea por línea en wacc/data/&lt;empresa&gt;.json.</t>
  </si>
  <si>
    <t>Capitalización bursátil (MUS$)</t>
  </si>
  <si>
    <t>No controladoras libro (MUS$)</t>
  </si>
  <si>
    <t>E = cap. + no contr.</t>
  </si>
  <si>
    <t>D deuda financiera</t>
  </si>
  <si>
    <t>Wd = D/(D+E)</t>
  </si>
  <si>
    <t>We = E/(D+E)</t>
  </si>
  <si>
    <t>D/E</t>
  </si>
  <si>
    <t>Deuda promedio</t>
  </si>
  <si>
    <t>Kd bruto</t>
  </si>
  <si>
    <t>t</t>
  </si>
  <si>
    <t>Kd neto</t>
  </si>
  <si>
    <t>Rf</t>
  </si>
  <si>
    <t>ERP</t>
  </si>
  <si>
    <t>CRP Chile</t>
  </si>
  <si>
    <t>βU base</t>
  </si>
  <si>
    <t>βL base</t>
  </si>
  <si>
    <t>Ke base (USD)</t>
  </si>
  <si>
    <t>βU alt</t>
  </si>
  <si>
    <t>βL alt</t>
  </si>
  <si>
    <t>Ke alt</t>
  </si>
  <si>
    <t>WACC 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</si>
</sst>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27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10" fontId="0" fillId="0" borderId="0" xfId="0" applyNumberForma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G25"/>
  <sheetFormatPr defaultRowHeight="15" outlineLevelRow="0" outlineLevelCol="0" x14ac:dyDescent="55"/>
  <cols>
    <col min="1" max="1" width="20" customWidth="1"/>
    <col min="2" max="7" width="10" customWidth="1"/>
  </cols>
  <sheetData>
    <row r="1" spans="1:1" x14ac:dyDescent="0.25">
      <c r="A1" s="1" t="s">
        <v>0</v>
      </c>
    </row>
    <row r="2" spans="1:7" s="2" customFormat="1" x14ac:dyDescent="0.25">
      <c r="A2" s="2" t="s">
        <v>1</v>
      </c>
      <c r="B2" s="2">
        <v>2020</v>
      </c>
      <c r="C2" s="2">
        <v>2021</v>
      </c>
      <c r="D2" s="2">
        <v>2022</v>
      </c>
      <c r="E2" s="2">
        <v>2023</v>
      </c>
      <c r="F2" s="2">
        <v>2024</v>
      </c>
      <c r="G2" s="2">
        <v>2025</v>
      </c>
    </row>
    <row r="3" spans="1:7" x14ac:dyDescent="0.25">
      <c r="A3" t="s">
        <v>2</v>
      </c>
      <c r="B3" s="3">
        <f>WACC!T2</f>
        <v>0.06259889426123061</v>
      </c>
      <c r="C3" s="3">
        <f>WACC!T3</f>
        <v>0.06460432076120715</v>
      </c>
      <c r="D3" s="3">
        <f>WACC!T4</f>
        <v>0.10392311110518505</v>
      </c>
      <c r="E3" s="3">
        <f>WACC!T5</f>
        <v>0.08374681917294263</v>
      </c>
      <c r="F3" s="3">
        <f>WACC!T6</f>
        <v>0.08407592398123279</v>
      </c>
      <c r="G3" s="3">
        <f>WACC!T7</f>
        <v>0.09013746665331963</v>
      </c>
    </row>
    <row r="4" spans="1:7" x14ac:dyDescent="0.25">
      <c r="A4" t="s">
        <v>3</v>
      </c>
      <c r="B4" s="3">
        <f>WACC!T8</f>
        <v>0.06722945526568913</v>
      </c>
      <c r="C4" s="3">
        <f>WACC!T9</f>
        <v>0.06995362810980886</v>
      </c>
      <c r="D4" s="3">
        <f>WACC!T10</f>
        <v>0.1091211889767941</v>
      </c>
      <c r="E4" s="3">
        <f>WACC!T11</f>
        <v>0.09379833983631067</v>
      </c>
      <c r="F4" s="3">
        <f>WACC!T12</f>
        <v>0.08628797237341299</v>
      </c>
      <c r="G4" s="3">
        <f>WACC!T13</f>
        <v>0.0847800794154895</v>
      </c>
    </row>
    <row r="5" spans="1:7" x14ac:dyDescent="0.25">
      <c r="A5" t="s">
        <v>4</v>
      </c>
      <c r="B5" s="3">
        <f>WACC!T14</f>
        <v>0.06034591734383377</v>
      </c>
      <c r="C5" s="3">
        <f>WACC!T15</f>
        <v>0.06506739689404067</v>
      </c>
      <c r="D5" s="3">
        <f>WACC!T16</f>
        <v>0.09955564206209058</v>
      </c>
      <c r="E5" s="3">
        <f>WACC!T17</f>
        <v>0.0976950061779708</v>
      </c>
      <c r="F5" s="3">
        <f>WACC!T18</f>
        <v>0.09680842326933252</v>
      </c>
      <c r="G5" s="3">
        <f>WACC!T19</f>
        <v>0.10554636118064833</v>
      </c>
    </row>
    <row r="6" spans="1:7" x14ac:dyDescent="0.25">
      <c r="A6" t="s">
        <v>5</v>
      </c>
      <c r="B6" s="3">
        <f>WACC!T20</f>
        <v>0.057850766759933475</v>
      </c>
      <c r="C6" s="3">
        <f>WACC!T21</f>
        <v>0.06074353159884528</v>
      </c>
      <c r="D6" s="3">
        <f>WACC!T22</f>
        <v>0.09538545333717519</v>
      </c>
      <c r="E6" s="3">
        <f>WACC!T23</f>
        <v>0.08294987709612639</v>
      </c>
      <c r="F6" s="3">
        <f>WACC!T24</f>
        <v>0.08804149193686289</v>
      </c>
      <c r="G6" s="3">
        <f>WACC!T25</f>
        <v>0.09004986288085731</v>
      </c>
    </row>
    <row r="7" spans="1:7" x14ac:dyDescent="0.25">
      <c r="A7" t="s">
        <v>6</v>
      </c>
      <c r="B7" s="3">
        <f>WACC!T26</f>
        <v>0.04443990731153778</v>
      </c>
      <c r="C7" s="3">
        <f>WACC!T27</f>
        <v>0.046591706510779124</v>
      </c>
      <c r="D7" s="3">
        <f>WACC!T28</f>
        <v>0.0677541697392664</v>
      </c>
      <c r="E7" s="3">
        <f>WACC!T29</f>
        <v>0.06257072219610665</v>
      </c>
      <c r="F7" s="3">
        <f>WACC!T30</f>
        <v>0.06202725454190741</v>
      </c>
      <c r="G7" s="3">
        <f>WACC!T31</f>
        <v>0.060449626595453956</v>
      </c>
    </row>
    <row r="9" spans="1:1" x14ac:dyDescent="0.25">
      <c r="A9" s="1" t="s">
        <v>7</v>
      </c>
    </row>
    <row r="10" spans="1:7" s="2" customFormat="1" x14ac:dyDescent="0.25">
      <c r="A10" s="2" t="s">
        <v>1</v>
      </c>
      <c r="B10" s="2">
        <v>2020</v>
      </c>
      <c r="C10" s="2">
        <v>2021</v>
      </c>
      <c r="D10" s="2">
        <v>2022</v>
      </c>
      <c r="E10" s="2">
        <v>2023</v>
      </c>
      <c r="F10" s="2">
        <v>2024</v>
      </c>
      <c r="G10" s="2">
        <v>2025</v>
      </c>
    </row>
    <row r="11" spans="1:7" x14ac:dyDescent="0.25">
      <c r="A11" t="s">
        <v>2</v>
      </c>
      <c r="B11" s="3">
        <f>WACC!S2</f>
        <v>0.0681490206989512</v>
      </c>
      <c r="C11" s="3">
        <f>WACC!S3</f>
        <v>0.07070595495323143</v>
      </c>
      <c r="D11" s="3">
        <f>WACC!S4</f>
        <v>0.11462953588742068</v>
      </c>
      <c r="E11" s="3">
        <f>WACC!S5</f>
        <v>0.09849122776642817</v>
      </c>
      <c r="F11" s="3">
        <f>WACC!S6</f>
        <v>0.10813071308771974</v>
      </c>
      <c r="G11" s="3">
        <f>WACC!S7</f>
        <v>0.10295783529571512</v>
      </c>
    </row>
    <row r="12" spans="1:7" x14ac:dyDescent="0.25">
      <c r="A12" t="s">
        <v>3</v>
      </c>
      <c r="B12" s="3">
        <f>WACC!S8</f>
        <v>0.06297261727083575</v>
      </c>
      <c r="C12" s="3">
        <f>WACC!S9</f>
        <v>0.07124707393021332</v>
      </c>
      <c r="D12" s="3">
        <f>WACC!S10</f>
        <v>0.12493587706221966</v>
      </c>
      <c r="E12" s="3">
        <f>WACC!S11</f>
        <v>0.1118363148728104</v>
      </c>
      <c r="F12" s="3">
        <f>WACC!S12</f>
        <v>0.11251081902256953</v>
      </c>
      <c r="G12" s="3">
        <f>WACC!S13</f>
        <v>0.10656716876110572</v>
      </c>
    </row>
    <row r="13" spans="1:7" x14ac:dyDescent="0.25">
      <c r="A13" t="s">
        <v>4</v>
      </c>
      <c r="B13" s="3">
        <f>WACC!S14</f>
        <v>0.06203137893123793</v>
      </c>
      <c r="C13" s="3">
        <f>WACC!S15</f>
        <v>0.09452053141914571</v>
      </c>
      <c r="D13" s="3">
        <f>WACC!S16</f>
        <v>0.15521184206290423</v>
      </c>
      <c r="E13" s="3">
        <f>WACC!S17</f>
        <v>0.1427262622096461</v>
      </c>
      <c r="F13" s="3">
        <f>WACC!S18</f>
        <v>0.13429703806222876</v>
      </c>
      <c r="G13" s="3">
        <f>WACC!S19</f>
        <v>0.12992925100413244</v>
      </c>
    </row>
    <row r="14" spans="1:7" x14ac:dyDescent="0.25">
      <c r="A14" t="s">
        <v>5</v>
      </c>
      <c r="B14" s="3">
        <f>WACC!S20</f>
        <v>0.06672320623907867</v>
      </c>
      <c r="C14" s="3">
        <f>WACC!S21</f>
        <v>0.07431793302973821</v>
      </c>
      <c r="D14" s="3">
        <f>WACC!S22</f>
        <v>0.12279431850431176</v>
      </c>
      <c r="E14" s="3">
        <f>WACC!S23</f>
        <v>0.09920772353285412</v>
      </c>
      <c r="F14" s="3">
        <f>WACC!S24</f>
        <v>0.10112335985413404</v>
      </c>
      <c r="G14" s="3">
        <f>WACC!S25</f>
        <v>0.09943942196472502</v>
      </c>
    </row>
    <row r="15" spans="1:7" x14ac:dyDescent="0.25">
      <c r="A15" t="s">
        <v>6</v>
      </c>
      <c r="B15" s="3">
        <f>WACC!S26</f>
        <v>0.04493067609111363</v>
      </c>
      <c r="C15" s="3">
        <f>WACC!S27</f>
        <v>0.0541430161505743</v>
      </c>
      <c r="D15" s="3">
        <f>WACC!S28</f>
        <v>0.0901389935719115</v>
      </c>
      <c r="E15" s="3">
        <f>WACC!S29</f>
        <v>0.0794212347605548</v>
      </c>
      <c r="F15" s="3">
        <f>WACC!S30</f>
        <v>0.08239694161058383</v>
      </c>
      <c r="G15" s="3">
        <f>WACC!S31</f>
        <v>0.07965594952135313</v>
      </c>
    </row>
    <row r="17" spans="1:1" x14ac:dyDescent="0.25">
      <c r="A17" s="1" t="s">
        <v>8</v>
      </c>
    </row>
    <row r="18" spans="1:7" s="2" customFormat="1" x14ac:dyDescent="0.25">
      <c r="A18" s="2" t="s">
        <v>1</v>
      </c>
      <c r="B18" s="2">
        <v>2020</v>
      </c>
      <c r="C18" s="2">
        <v>2021</v>
      </c>
      <c r="D18" s="2">
        <v>2022</v>
      </c>
      <c r="E18" s="2">
        <v>2023</v>
      </c>
      <c r="F18" s="2">
        <v>2024</v>
      </c>
      <c r="G18" s="2">
        <v>2025</v>
      </c>
    </row>
    <row r="19" spans="1:7" x14ac:dyDescent="0.25">
      <c r="A19" t="s">
        <v>2</v>
      </c>
      <c r="B19" s="3">
        <f>WACC!X2</f>
        <v>0.057010676058959375</v>
      </c>
      <c r="C19" s="3">
        <f>WACC!X3</f>
        <v>0.06672487828003751</v>
      </c>
      <c r="D19" s="3">
        <f>WACC!X4</f>
        <v>0.10974964862580572</v>
      </c>
      <c r="E19" s="3">
        <f>WACC!X5</f>
        <v>0.08980671786331063</v>
      </c>
      <c r="F19" s="3">
        <f>WACC!X6</f>
        <v>0.09233071346652687</v>
      </c>
      <c r="G19" s="3">
        <f>WACC!X7</f>
        <v>0.1011861487295797</v>
      </c>
    </row>
    <row r="20" spans="1:7" x14ac:dyDescent="0.25">
      <c r="A20" t="s">
        <v>3</v>
      </c>
      <c r="B20" s="3">
        <f>WACC!X8</f>
        <v>0.06683793077319099</v>
      </c>
      <c r="C20" s="3">
        <f>WACC!X9</f>
        <v>0.07374468546931978</v>
      </c>
      <c r="D20" s="3">
        <f>WACC!X10</f>
        <v>0.11469664689972675</v>
      </c>
      <c r="E20" s="3">
        <f>WACC!X11</f>
        <v>0.09781271402260447</v>
      </c>
      <c r="F20" s="3">
        <f>WACC!X12</f>
        <v>0.09698518684767268</v>
      </c>
      <c r="G20" s="3">
        <f>WACC!X13</f>
        <v>0.10221096265161476</v>
      </c>
    </row>
    <row r="21" spans="1:7" x14ac:dyDescent="0.25">
      <c r="A21" t="s">
        <v>4</v>
      </c>
      <c r="B21" s="3">
        <f>WACC!X14</f>
        <v>0.06073866755039557</v>
      </c>
      <c r="C21" s="3">
        <f>WACC!X15</f>
        <v>0.06154330096341788</v>
      </c>
      <c r="D21" s="3">
        <f>WACC!X16</f>
        <v>0.09429123284817803</v>
      </c>
      <c r="E21" s="3">
        <f>WACC!X17</f>
        <v>0.0939096510826467</v>
      </c>
      <c r="F21" s="3">
        <f>WACC!X18</f>
        <v>0.08618583031959338</v>
      </c>
      <c r="G21" s="3">
        <f>WACC!X19</f>
        <v>0.0877934993404044</v>
      </c>
    </row>
    <row r="22" spans="1:7" x14ac:dyDescent="0.25">
      <c r="A22" t="s">
        <v>5</v>
      </c>
      <c r="B22" s="3">
        <f>WACC!X20</f>
        <v>0.06213936063491951</v>
      </c>
      <c r="C22" s="3">
        <f>WACC!X21</f>
        <v>0.0636053561819432</v>
      </c>
      <c r="D22" s="3">
        <f>WACC!X22</f>
        <v>0.0971956843201715</v>
      </c>
      <c r="E22" s="3">
        <f>WACC!X23</f>
        <v>0.08441982640367537</v>
      </c>
      <c r="F22" s="3">
        <f>WACC!X24</f>
        <v>0.08957829003705459</v>
      </c>
      <c r="G22" s="3">
        <f>WACC!X25</f>
        <v>0.09240138052863546</v>
      </c>
    </row>
    <row r="23" spans="1:7" x14ac:dyDescent="0.25">
      <c r="A23" t="s">
        <v>6</v>
      </c>
      <c r="B23" s="3">
        <f>WACC!X26</f>
        <v>0.03132271593532232</v>
      </c>
      <c r="C23" s="3">
        <f>WACC!X27</f>
        <v>0.04034646849158787</v>
      </c>
      <c r="D23" s="3">
        <f>WACC!X28</f>
        <v>0.06031496294853378</v>
      </c>
      <c r="E23" s="3">
        <f>WACC!X29</f>
        <v>0.0566835880101631</v>
      </c>
      <c r="F23" s="3">
        <f>WACC!X30</f>
        <v>0.057217936182067664</v>
      </c>
      <c r="G23" s="3">
        <f>WACC!X31</f>
        <v>0.05918211538819285</v>
      </c>
    </row>
    <row r="25" spans="1:1" x14ac:dyDescent="0.25">
      <c r="A2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4" width="14" customWidth="1"/>
    <col min="5" max="5" width="10" customWidth="1"/>
    <col min="6" max="6" width="48" customWidth="1"/>
    <col min="7" max="7" width="52" customWidth="1"/>
    <col min="8" max="8" width="2" customWidth="1"/>
    <col min="9" max="9" width="26" customWidth="1"/>
    <col min="10" max="10" width="10" customWidth="1"/>
  </cols>
  <sheetData>
    <row r="1" ht="32" customHeight="1" spans="1:10" s="4" customForma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</row>
    <row r="2" spans="1:10" x14ac:dyDescent="0.25">
      <c r="A2">
        <v>2020</v>
      </c>
      <c r="B2" s="3">
        <v>0.0093</v>
      </c>
      <c r="C2" s="3">
        <v>0.0472</v>
      </c>
      <c r="D2" s="3">
        <v>0.006815</v>
      </c>
      <c r="E2" t="s">
        <v>20</v>
      </c>
      <c r="F2" t="s">
        <v>21</v>
      </c>
      <c r="G2" t="s">
        <v>22</v>
      </c>
      <c r="I2" t="s">
        <v>23</v>
      </c>
      <c r="J2" s="3">
        <v>0.27</v>
      </c>
    </row>
    <row r="3" spans="1:7" x14ac:dyDescent="0.25">
      <c r="A3">
        <v>2021</v>
      </c>
      <c r="B3" s="3">
        <v>0.0151</v>
      </c>
      <c r="C3" s="3">
        <v>0.0424</v>
      </c>
      <c r="D3" s="3">
        <v>0.006959</v>
      </c>
      <c r="E3" t="s">
        <v>20</v>
      </c>
      <c r="F3" t="s">
        <v>21</v>
      </c>
      <c r="G3" t="s">
        <v>24</v>
      </c>
    </row>
    <row r="4" spans="1:7" x14ac:dyDescent="0.25">
      <c r="A4">
        <v>2022</v>
      </c>
      <c r="B4" s="3">
        <v>0.0388</v>
      </c>
      <c r="C4" s="3">
        <v>0.0594</v>
      </c>
      <c r="D4" s="3">
        <v>0.014606</v>
      </c>
      <c r="E4" t="s">
        <v>25</v>
      </c>
      <c r="F4" t="s">
        <v>21</v>
      </c>
      <c r="G4" t="s">
        <v>26</v>
      </c>
    </row>
    <row r="5" spans="1:7" x14ac:dyDescent="0.25">
      <c r="A5">
        <v>2023</v>
      </c>
      <c r="B5" s="3">
        <v>0.0388</v>
      </c>
      <c r="C5" s="3">
        <v>0.046</v>
      </c>
      <c r="D5" s="3">
        <v>0.012376</v>
      </c>
      <c r="E5" t="s">
        <v>25</v>
      </c>
      <c r="F5" t="s">
        <v>21</v>
      </c>
      <c r="G5" t="s">
        <v>27</v>
      </c>
    </row>
    <row r="6" spans="1:7" x14ac:dyDescent="0.25">
      <c r="A6">
        <v>2024</v>
      </c>
      <c r="B6" s="3">
        <v>0.0458</v>
      </c>
      <c r="C6" s="3">
        <v>0.0433</v>
      </c>
      <c r="D6" s="3">
        <v>0.011294</v>
      </c>
      <c r="E6" t="s">
        <v>25</v>
      </c>
      <c r="F6" t="s">
        <v>21</v>
      </c>
      <c r="G6" t="s">
        <v>28</v>
      </c>
    </row>
    <row r="7" spans="1:7" x14ac:dyDescent="0.25">
      <c r="A7">
        <v>2025</v>
      </c>
      <c r="B7" s="3">
        <v>0.0418</v>
      </c>
      <c r="C7" s="3">
        <v>0.0423</v>
      </c>
      <c r="D7" s="3">
        <v>0.010955</v>
      </c>
      <c r="E7" t="s">
        <v>25</v>
      </c>
      <c r="F7" t="s">
        <v>21</v>
      </c>
      <c r="G7" t="s">
        <v>29</v>
      </c>
    </row>
    <row r="10" spans="1:1" x14ac:dyDescent="0.25">
      <c r="A10" s="5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8" max="8" width="60" customWidth="1"/>
  </cols>
  <sheetData>
    <row r="1" ht="32" customHeight="1" spans="1:8" s="4" customFormat="1" x14ac:dyDescent="0.25">
      <c r="A1" s="4" t="s">
        <v>36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 t="s">
        <v>37</v>
      </c>
    </row>
    <row r="2" spans="1:8" x14ac:dyDescent="0.25">
      <c r="A2" t="s">
        <v>38</v>
      </c>
      <c r="B2" s="6">
        <v>0.8795</v>
      </c>
      <c r="C2" s="6">
        <v>0.9509</v>
      </c>
      <c r="D2" s="6">
        <v>0.9065</v>
      </c>
      <c r="E2" s="6">
        <v>0.8282</v>
      </c>
      <c r="F2" s="6">
        <v>0.8458</v>
      </c>
      <c r="G2" s="6">
        <v>0.969</v>
      </c>
      <c r="H2" t="s">
        <v>39</v>
      </c>
    </row>
    <row r="3" spans="1:8" x14ac:dyDescent="0.25">
      <c r="A3" t="s">
        <v>40</v>
      </c>
      <c r="B3" s="6">
        <v>0.9764</v>
      </c>
      <c r="C3" s="6">
        <v>1.0241</v>
      </c>
      <c r="D3" s="6">
        <v>0.9395</v>
      </c>
      <c r="E3" s="6">
        <v>0.8626</v>
      </c>
      <c r="F3" s="6">
        <v>0.8835</v>
      </c>
      <c r="G3" s="6">
        <v>1.0271</v>
      </c>
      <c r="H3" t="s">
        <v>39</v>
      </c>
    </row>
    <row r="4" spans="1:8" x14ac:dyDescent="0.25">
      <c r="A4" t="s">
        <v>41</v>
      </c>
      <c r="B4" s="6">
        <v>0.853</v>
      </c>
      <c r="C4" s="6">
        <v>1.0761</v>
      </c>
      <c r="D4" s="6">
        <v>1.0408</v>
      </c>
      <c r="E4" s="6">
        <v>1.0022</v>
      </c>
      <c r="F4" s="6">
        <v>1.0918</v>
      </c>
      <c r="G4" s="6">
        <v>1.3013</v>
      </c>
      <c r="H4" t="s">
        <v>39</v>
      </c>
    </row>
    <row r="5" spans="1:8" x14ac:dyDescent="0.25">
      <c r="A5" t="s">
        <v>42</v>
      </c>
      <c r="B5" s="6">
        <v>0.8617</v>
      </c>
      <c r="C5" s="6">
        <v>0.9816</v>
      </c>
      <c r="D5" s="6">
        <v>0.9393</v>
      </c>
      <c r="E5" s="6">
        <v>0.9048</v>
      </c>
      <c r="F5" s="6">
        <v>0.8113</v>
      </c>
      <c r="G5" s="6">
        <v>0.8371</v>
      </c>
      <c r="H5" t="s">
        <v>39</v>
      </c>
    </row>
    <row r="6" spans="1:8" x14ac:dyDescent="0.25">
      <c r="A6" t="s">
        <v>43</v>
      </c>
      <c r="B6" s="6">
        <v>0.487</v>
      </c>
      <c r="C6" s="6">
        <v>0.5177</v>
      </c>
      <c r="D6" s="6">
        <v>0.416</v>
      </c>
      <c r="E6" s="6">
        <v>0.4218</v>
      </c>
      <c r="F6" s="6">
        <v>0.4047</v>
      </c>
      <c r="G6" s="6">
        <v>0.4331</v>
      </c>
      <c r="H6" t="s">
        <v>39</v>
      </c>
    </row>
    <row r="7" spans="1:8" x14ac:dyDescent="0.25">
      <c r="A7" t="s">
        <v>44</v>
      </c>
      <c r="B7" s="6">
        <v>0.1883</v>
      </c>
      <c r="C7" s="6">
        <v>0.3532</v>
      </c>
      <c r="D7" s="6">
        <v>0.2756</v>
      </c>
      <c r="E7" s="6">
        <v>0.279</v>
      </c>
      <c r="F7" s="6">
        <v>0.281</v>
      </c>
      <c r="G7" s="6">
        <v>0.3996</v>
      </c>
      <c r="H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" customWidth="1"/>
    <col min="3" max="3" width="16" customWidth="1"/>
    <col min="4" max="6" width="14" customWidth="1"/>
    <col min="7" max="7" width="12" customWidth="1"/>
    <col min="8" max="8" width="16" customWidth="1"/>
    <col min="9" max="9" width="14" customWidth="1"/>
    <col min="10" max="11" width="16" customWidth="1"/>
    <col min="12" max="12" width="22" customWidth="1"/>
    <col min="13" max="13" width="26" customWidth="1"/>
    <col min="14" max="14" width="90" customWidth="1"/>
  </cols>
  <sheetData>
    <row r="1" ht="32" customHeight="1" spans="1:14" s="4" customFormat="1" x14ac:dyDescent="0.25">
      <c r="A1" s="4" t="s">
        <v>1</v>
      </c>
      <c r="B1" s="4" t="s">
        <v>10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56</v>
      </c>
    </row>
    <row r="2" spans="1:14" x14ac:dyDescent="0.25">
      <c r="A2" t="s">
        <v>2</v>
      </c>
      <c r="B2">
        <v>2020</v>
      </c>
      <c r="C2" s="7">
        <v>142819552</v>
      </c>
      <c r="D2" s="7">
        <v>25246</v>
      </c>
      <c r="E2" s="7">
        <v>120376972</v>
      </c>
      <c r="F2" s="7">
        <v>34074.91</v>
      </c>
      <c r="G2" s="8">
        <v>711.24</v>
      </c>
      <c r="H2" s="7">
        <v>1922865</v>
      </c>
      <c r="I2" s="7">
        <v>82199</v>
      </c>
      <c r="J2" s="7">
        <v>2162578</v>
      </c>
      <c r="K2" s="7">
        <v>2123085</v>
      </c>
      <c r="L2" t="s">
        <v>40</v>
      </c>
      <c r="M2" t="s">
        <v>41</v>
      </c>
      <c r="N2" t="s">
        <v>57</v>
      </c>
    </row>
    <row r="3" spans="1:14" x14ac:dyDescent="0.25">
      <c r="A3" t="s">
        <v>2</v>
      </c>
      <c r="B3">
        <v>2021</v>
      </c>
      <c r="C3" s="7">
        <v>142818904</v>
      </c>
      <c r="D3" s="7">
        <v>48600</v>
      </c>
      <c r="E3" s="7">
        <v>142818904</v>
      </c>
      <c r="F3" s="7">
        <v>43489</v>
      </c>
      <c r="G3" s="8">
        <v>850.25</v>
      </c>
      <c r="H3" s="7">
        <v>2555511</v>
      </c>
      <c r="I3" s="7">
        <v>84626</v>
      </c>
      <c r="J3" s="7">
        <v>3215971</v>
      </c>
      <c r="K3" s="7">
        <v>3181520</v>
      </c>
      <c r="L3" t="s">
        <v>40</v>
      </c>
      <c r="M3" t="s">
        <v>41</v>
      </c>
      <c r="N3" t="s">
        <v>57</v>
      </c>
    </row>
    <row r="4" spans="1:14" x14ac:dyDescent="0.25">
      <c r="A4" t="s">
        <v>2</v>
      </c>
      <c r="B4">
        <v>2022</v>
      </c>
      <c r="C4" s="7">
        <v>142818904</v>
      </c>
      <c r="D4" s="7">
        <v>60121</v>
      </c>
      <c r="E4" s="7">
        <v>142818904</v>
      </c>
      <c r="F4" s="7">
        <v>68600</v>
      </c>
      <c r="G4" s="8">
        <v>859.51</v>
      </c>
      <c r="H4" s="7">
        <v>2848875</v>
      </c>
      <c r="I4" s="7">
        <v>86651</v>
      </c>
      <c r="J4" s="7">
        <v>4932001</v>
      </c>
      <c r="K4" s="7">
        <v>4896632</v>
      </c>
      <c r="L4" t="s">
        <v>40</v>
      </c>
      <c r="M4" t="s">
        <v>41</v>
      </c>
      <c r="N4" t="s">
        <v>58</v>
      </c>
    </row>
    <row r="5" spans="1:14" x14ac:dyDescent="0.25">
      <c r="A5" t="s">
        <v>2</v>
      </c>
      <c r="B5">
        <v>2023</v>
      </c>
      <c r="C5" s="7">
        <v>142818904</v>
      </c>
      <c r="D5" s="7">
        <v>50892</v>
      </c>
      <c r="E5" s="7">
        <v>142818904</v>
      </c>
      <c r="F5" s="7">
        <v>52650</v>
      </c>
      <c r="G5" s="8">
        <v>884.59</v>
      </c>
      <c r="H5" s="7">
        <v>4416264</v>
      </c>
      <c r="I5" s="7">
        <v>138402</v>
      </c>
      <c r="J5" s="7">
        <v>5566905</v>
      </c>
      <c r="K5" s="7">
        <v>5530675</v>
      </c>
      <c r="L5" t="s">
        <v>40</v>
      </c>
      <c r="M5" t="s">
        <v>41</v>
      </c>
      <c r="N5" t="s">
        <v>58</v>
      </c>
    </row>
    <row r="6" spans="1:14" x14ac:dyDescent="0.25">
      <c r="A6" t="s">
        <v>2</v>
      </c>
      <c r="B6">
        <v>2024</v>
      </c>
      <c r="C6" s="7">
        <v>142818904</v>
      </c>
      <c r="D6" s="7">
        <v>35009</v>
      </c>
      <c r="E6" s="7">
        <v>142818904</v>
      </c>
      <c r="F6" s="7">
        <v>36600</v>
      </c>
      <c r="G6" s="8">
        <v>992.12</v>
      </c>
      <c r="H6" s="7">
        <v>4734876</v>
      </c>
      <c r="I6" s="7">
        <v>197544</v>
      </c>
      <c r="J6" s="7">
        <v>5198067</v>
      </c>
      <c r="K6" s="7">
        <v>5160819</v>
      </c>
      <c r="L6" t="s">
        <v>40</v>
      </c>
      <c r="M6" t="s">
        <v>41</v>
      </c>
      <c r="N6" t="s">
        <v>59</v>
      </c>
    </row>
    <row r="7" spans="1:14" x14ac:dyDescent="0.25">
      <c r="A7" t="s">
        <v>2</v>
      </c>
      <c r="B7">
        <v>2025</v>
      </c>
      <c r="C7" s="7">
        <v>142818904</v>
      </c>
      <c r="D7" s="7">
        <v>60543</v>
      </c>
      <c r="E7" s="7">
        <v>142818904</v>
      </c>
      <c r="F7" s="7">
        <v>63800</v>
      </c>
      <c r="G7" s="8">
        <v>911.18</v>
      </c>
      <c r="H7" s="7">
        <v>4655235</v>
      </c>
      <c r="I7" s="7">
        <v>192672</v>
      </c>
      <c r="J7" s="7">
        <v>8053879</v>
      </c>
      <c r="K7" s="7">
        <v>5691262</v>
      </c>
      <c r="L7" t="s">
        <v>40</v>
      </c>
      <c r="M7" t="s">
        <v>41</v>
      </c>
      <c r="N7" t="s">
        <v>59</v>
      </c>
    </row>
    <row r="8" spans="1:14" x14ac:dyDescent="0.25">
      <c r="A8" t="s">
        <v>3</v>
      </c>
      <c r="B8">
        <v>2020</v>
      </c>
      <c r="C8" s="7">
        <v>149448112</v>
      </c>
      <c r="D8" s="7">
        <v>9545</v>
      </c>
      <c r="E8" s="7">
        <v>0</v>
      </c>
      <c r="F8" s="7">
        <v>0</v>
      </c>
      <c r="G8" s="8">
        <v>711.24</v>
      </c>
      <c r="H8" s="7">
        <v>710115</v>
      </c>
      <c r="I8" s="7">
        <v>85275</v>
      </c>
      <c r="J8" s="7">
        <v>3463491</v>
      </c>
      <c r="K8" s="7">
        <v>2060460</v>
      </c>
      <c r="L8" t="s">
        <v>42</v>
      </c>
      <c r="M8" t="s">
        <v>41</v>
      </c>
      <c r="N8" t="s">
        <v>60</v>
      </c>
    </row>
    <row r="9" spans="1:14" x14ac:dyDescent="0.25">
      <c r="A9" t="s">
        <v>3</v>
      </c>
      <c r="B9">
        <v>2021</v>
      </c>
      <c r="C9" s="7">
        <v>149448112</v>
      </c>
      <c r="D9" s="7">
        <v>8300</v>
      </c>
      <c r="E9" s="7">
        <v>0</v>
      </c>
      <c r="F9" s="7">
        <v>0</v>
      </c>
      <c r="G9" s="8">
        <v>850.25</v>
      </c>
      <c r="H9" s="7">
        <v>718275</v>
      </c>
      <c r="I9" s="7">
        <v>63359</v>
      </c>
      <c r="J9" s="7">
        <v>3667322</v>
      </c>
      <c r="K9" s="7">
        <v>2242713</v>
      </c>
      <c r="L9" t="s">
        <v>42</v>
      </c>
      <c r="M9" t="s">
        <v>41</v>
      </c>
      <c r="N9" t="s">
        <v>60</v>
      </c>
    </row>
    <row r="10" spans="1:14" x14ac:dyDescent="0.25">
      <c r="A10" t="s">
        <v>3</v>
      </c>
      <c r="B10">
        <v>2022</v>
      </c>
      <c r="C10" s="7">
        <v>149448112</v>
      </c>
      <c r="D10" s="7">
        <v>6950</v>
      </c>
      <c r="E10" s="7">
        <v>0</v>
      </c>
      <c r="F10" s="7">
        <v>0</v>
      </c>
      <c r="G10" s="8">
        <v>859.51</v>
      </c>
      <c r="H10" s="7">
        <v>1009542</v>
      </c>
      <c r="I10" s="7">
        <v>80694</v>
      </c>
      <c r="J10" s="7">
        <v>3681990</v>
      </c>
      <c r="K10" s="7">
        <v>2277312</v>
      </c>
      <c r="L10" t="s">
        <v>42</v>
      </c>
      <c r="M10" t="s">
        <v>41</v>
      </c>
      <c r="N10" t="s">
        <v>61</v>
      </c>
    </row>
    <row r="11" spans="1:14" x14ac:dyDescent="0.25">
      <c r="A11" t="s">
        <v>3</v>
      </c>
      <c r="B11">
        <v>2023</v>
      </c>
      <c r="C11" s="7">
        <v>149448112</v>
      </c>
      <c r="D11" s="7">
        <v>7200</v>
      </c>
      <c r="E11" s="7">
        <v>0</v>
      </c>
      <c r="F11" s="7">
        <v>0</v>
      </c>
      <c r="G11" s="8">
        <v>884.59</v>
      </c>
      <c r="H11" s="7">
        <v>1636398</v>
      </c>
      <c r="I11" s="7">
        <v>117823</v>
      </c>
      <c r="J11" s="7">
        <v>3661112</v>
      </c>
      <c r="K11" s="7">
        <v>2266167</v>
      </c>
      <c r="L11" t="s">
        <v>42</v>
      </c>
      <c r="M11" t="s">
        <v>41</v>
      </c>
      <c r="N11" t="s">
        <v>61</v>
      </c>
    </row>
    <row r="12" spans="1:14" x14ac:dyDescent="0.25">
      <c r="A12" t="s">
        <v>3</v>
      </c>
      <c r="B12">
        <v>2024</v>
      </c>
      <c r="C12" s="7">
        <v>149448112</v>
      </c>
      <c r="D12" s="7">
        <v>5260</v>
      </c>
      <c r="E12" s="7">
        <v>0</v>
      </c>
      <c r="F12" s="7">
        <v>0</v>
      </c>
      <c r="G12" s="8">
        <v>992.12</v>
      </c>
      <c r="H12" s="7">
        <v>1709061</v>
      </c>
      <c r="I12" s="7">
        <v>121768</v>
      </c>
      <c r="J12" s="7">
        <v>3185971</v>
      </c>
      <c r="K12" s="7">
        <v>1817979</v>
      </c>
      <c r="L12" t="s">
        <v>42</v>
      </c>
      <c r="M12" t="s">
        <v>41</v>
      </c>
      <c r="N12" t="s">
        <v>62</v>
      </c>
    </row>
    <row r="13" spans="1:14" x14ac:dyDescent="0.25">
      <c r="A13" t="s">
        <v>3</v>
      </c>
      <c r="B13">
        <v>2025</v>
      </c>
      <c r="C13" s="7">
        <v>149448112</v>
      </c>
      <c r="D13" s="7">
        <v>7420</v>
      </c>
      <c r="E13" s="7">
        <v>0</v>
      </c>
      <c r="F13" s="7">
        <v>0</v>
      </c>
      <c r="G13" s="8">
        <v>911.18</v>
      </c>
      <c r="H13" s="7">
        <v>1780319</v>
      </c>
      <c r="I13" s="7">
        <v>129484</v>
      </c>
      <c r="J13" s="7">
        <v>3017741</v>
      </c>
      <c r="K13" s="7">
        <v>1734086</v>
      </c>
      <c r="L13" t="s">
        <v>42</v>
      </c>
      <c r="M13" t="s">
        <v>41</v>
      </c>
      <c r="N13" t="s">
        <v>62</v>
      </c>
    </row>
    <row r="14" spans="1:14" x14ac:dyDescent="0.25">
      <c r="A14" t="s">
        <v>4</v>
      </c>
      <c r="B14">
        <v>2020</v>
      </c>
      <c r="C14" s="7">
        <v>132999304</v>
      </c>
      <c r="D14" s="7">
        <v>5340</v>
      </c>
      <c r="E14" s="7">
        <v>0</v>
      </c>
      <c r="F14" s="7">
        <v>0</v>
      </c>
      <c r="G14" s="8">
        <v>711.24</v>
      </c>
      <c r="H14" s="7">
        <v>192400</v>
      </c>
      <c r="I14" s="7">
        <v>13596</v>
      </c>
      <c r="J14" s="7">
        <v>755800</v>
      </c>
      <c r="K14" s="7">
        <v>754353</v>
      </c>
      <c r="L14" t="s">
        <v>41</v>
      </c>
      <c r="M14" t="s">
        <v>42</v>
      </c>
      <c r="N14" t="s">
        <v>63</v>
      </c>
    </row>
    <row r="15" spans="1:14" x14ac:dyDescent="0.25">
      <c r="A15" t="s">
        <v>4</v>
      </c>
      <c r="B15">
        <v>2021</v>
      </c>
      <c r="C15" s="7">
        <v>132999304</v>
      </c>
      <c r="D15" s="7">
        <v>4100</v>
      </c>
      <c r="E15" s="7">
        <v>0</v>
      </c>
      <c r="F15" s="7">
        <v>0</v>
      </c>
      <c r="G15" s="8">
        <v>850.25</v>
      </c>
      <c r="H15" s="7">
        <v>517777</v>
      </c>
      <c r="I15" s="7">
        <v>13868</v>
      </c>
      <c r="J15" s="7">
        <v>791728</v>
      </c>
      <c r="K15" s="7">
        <v>790401</v>
      </c>
      <c r="L15" t="s">
        <v>41</v>
      </c>
      <c r="M15" t="s">
        <v>42</v>
      </c>
      <c r="N15" t="s">
        <v>63</v>
      </c>
    </row>
    <row r="16" spans="1:14" x14ac:dyDescent="0.25">
      <c r="A16" t="s">
        <v>4</v>
      </c>
      <c r="B16">
        <v>2022</v>
      </c>
      <c r="C16" s="7">
        <v>132999304</v>
      </c>
      <c r="D16" s="7">
        <v>3399.1</v>
      </c>
      <c r="E16" s="7">
        <v>0</v>
      </c>
      <c r="F16" s="7">
        <v>0</v>
      </c>
      <c r="G16" s="8">
        <v>859.51</v>
      </c>
      <c r="H16" s="7">
        <v>467119</v>
      </c>
      <c r="I16" s="7">
        <v>24779</v>
      </c>
      <c r="J16" s="7">
        <v>847217</v>
      </c>
      <c r="K16" s="7">
        <v>845915</v>
      </c>
      <c r="L16" t="s">
        <v>41</v>
      </c>
      <c r="M16" t="s">
        <v>42</v>
      </c>
      <c r="N16" t="s">
        <v>64</v>
      </c>
    </row>
    <row r="17" spans="1:14" x14ac:dyDescent="0.25">
      <c r="A17" t="s">
        <v>4</v>
      </c>
      <c r="B17">
        <v>2023</v>
      </c>
      <c r="C17" s="7">
        <v>132999304</v>
      </c>
      <c r="D17" s="7">
        <v>3750</v>
      </c>
      <c r="E17" s="7">
        <v>0</v>
      </c>
      <c r="F17" s="7">
        <v>0</v>
      </c>
      <c r="G17" s="8">
        <v>884.59</v>
      </c>
      <c r="H17" s="7">
        <v>763083</v>
      </c>
      <c r="I17" s="7">
        <v>54222</v>
      </c>
      <c r="J17" s="7">
        <v>864083</v>
      </c>
      <c r="K17" s="7">
        <v>862857</v>
      </c>
      <c r="L17" t="s">
        <v>41</v>
      </c>
      <c r="M17" t="s">
        <v>42</v>
      </c>
      <c r="N17" t="s">
        <v>64</v>
      </c>
    </row>
    <row r="18" spans="1:14" x14ac:dyDescent="0.25">
      <c r="A18" t="s">
        <v>4</v>
      </c>
      <c r="B18">
        <v>2024</v>
      </c>
      <c r="C18" s="7">
        <v>132999304</v>
      </c>
      <c r="D18" s="7">
        <v>3400</v>
      </c>
      <c r="E18" s="7">
        <v>0</v>
      </c>
      <c r="F18" s="7">
        <v>0</v>
      </c>
      <c r="G18" s="8">
        <v>992.12</v>
      </c>
      <c r="H18" s="7">
        <v>396480</v>
      </c>
      <c r="I18" s="7">
        <v>42554</v>
      </c>
      <c r="J18" s="7">
        <v>889642</v>
      </c>
      <c r="K18" s="7">
        <v>888242</v>
      </c>
      <c r="L18" t="s">
        <v>41</v>
      </c>
      <c r="M18" t="s">
        <v>42</v>
      </c>
      <c r="N18" t="s">
        <v>65</v>
      </c>
    </row>
    <row r="19" spans="1:14" x14ac:dyDescent="0.25">
      <c r="A19" t="s">
        <v>4</v>
      </c>
      <c r="B19">
        <v>2025</v>
      </c>
      <c r="C19" s="7">
        <v>132999304</v>
      </c>
      <c r="D19" s="7">
        <v>6200</v>
      </c>
      <c r="E19" s="7">
        <v>0</v>
      </c>
      <c r="F19" s="7">
        <v>0</v>
      </c>
      <c r="G19" s="8">
        <v>911.18</v>
      </c>
      <c r="H19" s="7">
        <v>499231</v>
      </c>
      <c r="I19" s="7">
        <v>37590</v>
      </c>
      <c r="J19" s="7">
        <v>944486</v>
      </c>
      <c r="K19" s="7">
        <v>942946</v>
      </c>
      <c r="L19" t="s">
        <v>41</v>
      </c>
      <c r="M19" t="s">
        <v>42</v>
      </c>
      <c r="N19" t="s">
        <v>65</v>
      </c>
    </row>
    <row r="20" spans="1:14" x14ac:dyDescent="0.25">
      <c r="A20" t="s">
        <v>5</v>
      </c>
      <c r="B20">
        <v>2020</v>
      </c>
      <c r="C20" s="7">
        <v>123000000</v>
      </c>
      <c r="D20" s="7">
        <v>7164.7</v>
      </c>
      <c r="E20" s="7">
        <v>0</v>
      </c>
      <c r="F20" s="7">
        <v>0</v>
      </c>
      <c r="G20" s="8">
        <v>711.24</v>
      </c>
      <c r="H20" s="7">
        <v>383025</v>
      </c>
      <c r="I20" s="7">
        <v>14844</v>
      </c>
      <c r="J20" s="7">
        <v>717380</v>
      </c>
      <c r="K20" s="7">
        <v>680319</v>
      </c>
      <c r="L20" t="s">
        <v>38</v>
      </c>
      <c r="M20" t="s">
        <v>40</v>
      </c>
      <c r="N20" t="s">
        <v>66</v>
      </c>
    </row>
    <row r="21" spans="1:14" x14ac:dyDescent="0.25">
      <c r="A21" t="s">
        <v>5</v>
      </c>
      <c r="B21">
        <v>2021</v>
      </c>
      <c r="C21" s="7">
        <v>123000000</v>
      </c>
      <c r="D21" s="7">
        <v>7025.7</v>
      </c>
      <c r="E21" s="7">
        <v>0</v>
      </c>
      <c r="F21" s="7">
        <v>0</v>
      </c>
      <c r="G21" s="8">
        <v>850.25</v>
      </c>
      <c r="H21" s="7">
        <v>427705</v>
      </c>
      <c r="I21" s="7">
        <v>15151</v>
      </c>
      <c r="J21" s="7">
        <v>704544</v>
      </c>
      <c r="K21" s="7">
        <v>666675</v>
      </c>
      <c r="L21" t="s">
        <v>38</v>
      </c>
      <c r="M21" t="s">
        <v>40</v>
      </c>
      <c r="N21" t="s">
        <v>66</v>
      </c>
    </row>
    <row r="22" spans="1:14" x14ac:dyDescent="0.25">
      <c r="A22" t="s">
        <v>5</v>
      </c>
      <c r="B22">
        <v>2022</v>
      </c>
      <c r="C22" s="7">
        <v>123000000</v>
      </c>
      <c r="D22" s="7">
        <v>9435.3</v>
      </c>
      <c r="E22" s="7">
        <v>0</v>
      </c>
      <c r="F22" s="7">
        <v>0</v>
      </c>
      <c r="G22" s="8">
        <v>859.51</v>
      </c>
      <c r="H22" s="7">
        <v>551211</v>
      </c>
      <c r="I22" s="7">
        <v>17477</v>
      </c>
      <c r="J22" s="7">
        <v>804608</v>
      </c>
      <c r="K22" s="7">
        <v>760783</v>
      </c>
      <c r="L22" t="s">
        <v>38</v>
      </c>
      <c r="M22" t="s">
        <v>40</v>
      </c>
      <c r="N22" t="s">
        <v>67</v>
      </c>
    </row>
    <row r="23" spans="1:14" x14ac:dyDescent="0.25">
      <c r="A23" t="s">
        <v>5</v>
      </c>
      <c r="B23">
        <v>2023</v>
      </c>
      <c r="C23" s="7">
        <v>123000000</v>
      </c>
      <c r="D23" s="7">
        <v>11918</v>
      </c>
      <c r="E23" s="7">
        <v>0</v>
      </c>
      <c r="F23" s="7">
        <v>0</v>
      </c>
      <c r="G23" s="8">
        <v>884.59</v>
      </c>
      <c r="H23" s="7">
        <v>610128</v>
      </c>
      <c r="I23" s="7">
        <v>29779</v>
      </c>
      <c r="J23" s="7">
        <v>882440</v>
      </c>
      <c r="K23" s="7">
        <v>831600</v>
      </c>
      <c r="L23" t="s">
        <v>38</v>
      </c>
      <c r="M23" t="s">
        <v>40</v>
      </c>
      <c r="N23" t="s">
        <v>67</v>
      </c>
    </row>
    <row r="24" spans="1:14" x14ac:dyDescent="0.25">
      <c r="A24" t="s">
        <v>5</v>
      </c>
      <c r="B24">
        <v>2024</v>
      </c>
      <c r="C24" s="7">
        <v>123000000</v>
      </c>
      <c r="D24" s="7">
        <v>14731</v>
      </c>
      <c r="E24" s="7">
        <v>0</v>
      </c>
      <c r="F24" s="7">
        <v>0</v>
      </c>
      <c r="G24" s="8">
        <v>992.12</v>
      </c>
      <c r="H24" s="7">
        <v>522463</v>
      </c>
      <c r="I24" s="7">
        <v>31665</v>
      </c>
      <c r="J24" s="7">
        <v>900830</v>
      </c>
      <c r="K24" s="7">
        <v>841153</v>
      </c>
      <c r="L24" t="s">
        <v>38</v>
      </c>
      <c r="M24" t="s">
        <v>40</v>
      </c>
      <c r="N24" t="s">
        <v>68</v>
      </c>
    </row>
    <row r="25" spans="1:14" x14ac:dyDescent="0.25">
      <c r="A25" t="s">
        <v>5</v>
      </c>
      <c r="B25">
        <v>2025</v>
      </c>
      <c r="C25" s="7">
        <v>123000000</v>
      </c>
      <c r="D25" s="7">
        <v>23499</v>
      </c>
      <c r="E25" s="7">
        <v>0</v>
      </c>
      <c r="F25" s="7">
        <v>0</v>
      </c>
      <c r="G25" s="8">
        <v>911.18</v>
      </c>
      <c r="H25" s="7">
        <v>618741</v>
      </c>
      <c r="I25" s="7">
        <v>31831</v>
      </c>
      <c r="J25" s="7">
        <v>1057401</v>
      </c>
      <c r="K25" s="7">
        <v>979049</v>
      </c>
      <c r="L25" t="s">
        <v>38</v>
      </c>
      <c r="M25" t="s">
        <v>40</v>
      </c>
      <c r="N25" t="s">
        <v>68</v>
      </c>
    </row>
    <row r="26" spans="1:14" x14ac:dyDescent="0.25">
      <c r="A26" t="s">
        <v>6</v>
      </c>
      <c r="B26">
        <v>2020</v>
      </c>
      <c r="C26" s="7">
        <v>125000000</v>
      </c>
      <c r="D26" s="7">
        <v>13992</v>
      </c>
      <c r="E26" s="7">
        <v>0</v>
      </c>
      <c r="F26" s="7">
        <v>0</v>
      </c>
      <c r="G26" s="8">
        <v>711.24</v>
      </c>
      <c r="H26" s="7">
        <v>1661516</v>
      </c>
      <c r="I26" s="7">
        <v>97932</v>
      </c>
      <c r="J26" s="7">
        <v>6623484</v>
      </c>
      <c r="K26" s="7">
        <v>4299753</v>
      </c>
      <c r="L26" t="s">
        <v>43</v>
      </c>
      <c r="M26" t="s">
        <v>44</v>
      </c>
      <c r="N26" t="s">
        <v>69</v>
      </c>
    </row>
    <row r="27" spans="1:14" x14ac:dyDescent="0.25">
      <c r="A27" t="s">
        <v>6</v>
      </c>
      <c r="B27">
        <v>2021</v>
      </c>
      <c r="C27" s="7">
        <v>125000000</v>
      </c>
      <c r="D27" s="7">
        <v>13021</v>
      </c>
      <c r="E27" s="7">
        <v>0</v>
      </c>
      <c r="F27" s="7">
        <v>0</v>
      </c>
      <c r="G27" s="8">
        <v>850.25</v>
      </c>
      <c r="H27" s="7">
        <v>2408200</v>
      </c>
      <c r="I27" s="7">
        <v>96589</v>
      </c>
      <c r="J27" s="7">
        <v>5152992</v>
      </c>
      <c r="K27" s="7">
        <v>3259269</v>
      </c>
      <c r="L27" t="s">
        <v>43</v>
      </c>
      <c r="M27" t="s">
        <v>44</v>
      </c>
      <c r="N27" t="s">
        <v>69</v>
      </c>
    </row>
    <row r="28" spans="1:14" x14ac:dyDescent="0.25">
      <c r="A28" t="s">
        <v>6</v>
      </c>
      <c r="B28">
        <v>2022</v>
      </c>
      <c r="C28" s="7">
        <v>125000000</v>
      </c>
      <c r="D28" s="7">
        <v>10330</v>
      </c>
      <c r="E28" s="7">
        <v>0</v>
      </c>
      <c r="F28" s="7">
        <v>0</v>
      </c>
      <c r="G28" s="8">
        <v>859.51</v>
      </c>
      <c r="H28" s="7">
        <v>2323016</v>
      </c>
      <c r="I28" s="7">
        <v>110724</v>
      </c>
      <c r="J28" s="7">
        <v>5197783</v>
      </c>
      <c r="K28" s="7">
        <v>3214660</v>
      </c>
      <c r="L28" t="s">
        <v>43</v>
      </c>
      <c r="M28" t="s">
        <v>44</v>
      </c>
      <c r="N28" t="s">
        <v>70</v>
      </c>
    </row>
    <row r="29" spans="1:14" x14ac:dyDescent="0.25">
      <c r="A29" t="s">
        <v>6</v>
      </c>
      <c r="B29">
        <v>2023</v>
      </c>
      <c r="C29" s="7">
        <v>125000000</v>
      </c>
      <c r="D29" s="7">
        <v>12604</v>
      </c>
      <c r="E29" s="7">
        <v>0</v>
      </c>
      <c r="F29" s="7">
        <v>0</v>
      </c>
      <c r="G29" s="8">
        <v>884.59</v>
      </c>
      <c r="H29" s="7">
        <v>2402157</v>
      </c>
      <c r="I29" s="7">
        <v>115149</v>
      </c>
      <c r="J29" s="7">
        <v>5657634</v>
      </c>
      <c r="K29" s="7">
        <v>3590847</v>
      </c>
      <c r="L29" t="s">
        <v>43</v>
      </c>
      <c r="M29" t="s">
        <v>44</v>
      </c>
      <c r="N29" t="s">
        <v>70</v>
      </c>
    </row>
    <row r="30" spans="1:14" x14ac:dyDescent="0.25">
      <c r="A30" t="s">
        <v>6</v>
      </c>
      <c r="B30">
        <v>2024</v>
      </c>
      <c r="C30" s="7">
        <v>125000000</v>
      </c>
      <c r="D30" s="7">
        <v>13907</v>
      </c>
      <c r="E30" s="7">
        <v>0</v>
      </c>
      <c r="F30" s="7">
        <v>0</v>
      </c>
      <c r="G30" s="8">
        <v>992.12</v>
      </c>
      <c r="H30" s="7">
        <v>2347412</v>
      </c>
      <c r="I30" s="7">
        <v>92819</v>
      </c>
      <c r="J30" s="7">
        <v>5613390</v>
      </c>
      <c r="K30" s="7">
        <v>3505589</v>
      </c>
      <c r="L30" t="s">
        <v>43</v>
      </c>
      <c r="M30" t="s">
        <v>44</v>
      </c>
      <c r="N30" t="s">
        <v>71</v>
      </c>
    </row>
    <row r="31" spans="1:14" x14ac:dyDescent="0.25">
      <c r="A31" t="s">
        <v>6</v>
      </c>
      <c r="B31">
        <v>2025</v>
      </c>
      <c r="C31" s="7">
        <v>125000000</v>
      </c>
      <c r="D31" s="7">
        <v>14289</v>
      </c>
      <c r="E31" s="7">
        <v>0</v>
      </c>
      <c r="F31" s="7">
        <v>0</v>
      </c>
      <c r="G31" s="8">
        <v>911.18</v>
      </c>
      <c r="H31" s="7">
        <v>2635839</v>
      </c>
      <c r="I31" s="7">
        <v>104155</v>
      </c>
      <c r="J31" s="7">
        <v>6354015</v>
      </c>
      <c r="K31" s="7">
        <v>4206143</v>
      </c>
      <c r="L31" t="s">
        <v>43</v>
      </c>
      <c r="M31" t="s">
        <v>44</v>
      </c>
      <c r="N31" t="s">
        <v>71</v>
      </c>
    </row>
    <row r="33" spans="1:1" x14ac:dyDescent="0.25">
      <c r="A3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" customWidth="1"/>
    <col min="3" max="5" width="15" customWidth="1"/>
    <col min="6" max="6" width="14" customWidth="1"/>
    <col min="7" max="8" width="10" customWidth="1"/>
    <col min="9" max="9" width="8" customWidth="1"/>
    <col min="10" max="10" width="14" customWidth="1"/>
    <col min="12" max="12" width="7" customWidth="1"/>
    <col min="14" max="18" width="8" customWidth="1"/>
    <col min="19" max="20" width="10" customWidth="1"/>
    <col min="21" max="22" width="8" customWidth="1"/>
  </cols>
  <sheetData>
    <row r="1" ht="32" customHeight="1" spans="1:24" s="4" customFormat="1" x14ac:dyDescent="0.25">
      <c r="A1" s="4" t="s">
        <v>1</v>
      </c>
      <c r="B1" s="4" t="s">
        <v>10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  <c r="N1" s="4" t="s">
        <v>84</v>
      </c>
      <c r="O1" s="4" t="s">
        <v>85</v>
      </c>
      <c r="P1" s="4" t="s">
        <v>86</v>
      </c>
      <c r="Q1" s="4" t="s">
        <v>87</v>
      </c>
      <c r="R1" s="4" t="s">
        <v>88</v>
      </c>
      <c r="S1" s="4" t="s">
        <v>89</v>
      </c>
      <c r="T1" s="4" t="s">
        <v>0</v>
      </c>
      <c r="U1" s="4" t="s">
        <v>90</v>
      </c>
      <c r="V1" s="4" t="s">
        <v>91</v>
      </c>
      <c r="W1" s="4" t="s">
        <v>92</v>
      </c>
      <c r="X1" s="4" t="s">
        <v>93</v>
      </c>
    </row>
    <row r="2" spans="1:24" x14ac:dyDescent="0.25">
      <c r="A2" t="str">
        <f>Datos!A2</f>
        <v>SQM</v>
      </c>
      <c r="B2">
        <f>Datos!B2</f>
        <v>2020</v>
      </c>
      <c r="C2" s="7">
        <f>(Datos!C2*Datos!D2+Datos!E2*Datos!F2)/Datos!G2/1000</f>
        <v>10836647.118784826</v>
      </c>
      <c r="D2" s="7">
        <f>Datos!J2-Datos!K2</f>
        <v>39493</v>
      </c>
      <c r="E2" s="7">
        <f>C2+D2</f>
        <v>10876140.118784826</v>
      </c>
      <c r="F2" s="7">
        <f>Datos!H2</f>
        <v>1922865</v>
      </c>
      <c r="G2" s="3">
        <f>F2/(E2+F2)</f>
        <v>0.15023550519390388</v>
      </c>
      <c r="H2" s="3">
        <f>E2/(E2+F2)</f>
        <v>0.8497644948060962</v>
      </c>
      <c r="I2" s="6">
        <f>F2/E2</f>
        <v>0.1767966373179494</v>
      </c>
      <c r="J2" s="7">
        <f>F2</f>
        <v>1922865</v>
      </c>
      <c r="K2" s="3">
        <f>Datos!I2/J2</f>
        <v>0.04274819085063174</v>
      </c>
      <c r="L2" s="3">
        <f>Supuestos!$J$2</f>
        <v>0.27</v>
      </c>
      <c r="M2" s="3">
        <f>K2*(1-L2)</f>
        <v>0.031206179320961168</v>
      </c>
      <c r="N2" s="3">
        <f>INDEX(Supuestos!$B$2:$B$7,MATCH(B2,Supuestos!$A$2:$A$7,0))</f>
        <v>0.0093</v>
      </c>
      <c r="O2" s="3">
        <f>INDEX(Supuestos!$C$2:$C$7,MATCH(B2,Supuestos!$A$2:$A$7,0))</f>
        <v>0.0472</v>
      </c>
      <c r="P2" s="3">
        <f>INDEX(Supuestos!$D$2:$D$7,MATCH(B2,Supuestos!$A$2:$A$7,0))</f>
        <v>0.006815</v>
      </c>
      <c r="Q2" s="6">
        <f>INDEX(Betas!$B$2:$G$7,MATCH(Datos!L2,Betas!$A$2:$A$7,0),MATCH(B2,Betas!$B$1:$G$1,0))</f>
        <v>0.9764</v>
      </c>
      <c r="R2" s="6">
        <f>Q2*(1+(1-L2)*I2)</f>
        <v>1.1024156927743896</v>
      </c>
      <c r="S2" s="9">
        <f>N2+R2*O2+P2</f>
        <v>0.0681490206989512</v>
      </c>
      <c r="T2" s="9">
        <f>H2*S2+G2*M2</f>
        <v>0.06259889426123061</v>
      </c>
      <c r="U2" s="6">
        <f>INDEX(Betas!$B$2:$G$7,MATCH(Datos!M2,Betas!$A$2:$A$7,0),MATCH(B2,Betas!$B$1:$G$1,0))</f>
        <v>0.853</v>
      </c>
      <c r="V2" s="6">
        <f>U2*(1+(1-L2)*I2)</f>
        <v>0.9630894980915139</v>
      </c>
      <c r="W2" s="3">
        <f>N2+V2*O2+P2</f>
        <v>0.06157282430991945</v>
      </c>
      <c r="X2" s="3">
        <f>H2*W2+G2*M2</f>
        <v>0.057010676058959375</v>
      </c>
    </row>
    <row r="3" spans="1:24" x14ac:dyDescent="0.25">
      <c r="A3" t="str">
        <f>Datos!A3</f>
        <v>SQM</v>
      </c>
      <c r="B3">
        <f>Datos!B3</f>
        <v>2021</v>
      </c>
      <c r="C3" s="7">
        <f>(Datos!C3*Datos!D3+Datos!E3*Datos!F3)/Datos!G3/1000</f>
        <v>15468450.515090857</v>
      </c>
      <c r="D3" s="7">
        <f>Datos!J3-Datos!K3</f>
        <v>34451</v>
      </c>
      <c r="E3" s="7">
        <f>C3+D3</f>
        <v>15502901.515090857</v>
      </c>
      <c r="F3" s="7">
        <f>Datos!H3</f>
        <v>2555511</v>
      </c>
      <c r="G3" s="3">
        <f>F3/(E3+F3)</f>
        <v>0.14151360192178788</v>
      </c>
      <c r="H3" s="3">
        <f>E3/(E3+F3)</f>
        <v>0.8584863980782121</v>
      </c>
      <c r="I3" s="6">
        <f>F3/E3</f>
        <v>0.16484082012082776</v>
      </c>
      <c r="J3" s="7">
        <f>(F3+F2)/2</f>
        <v>2239188</v>
      </c>
      <c r="K3" s="3">
        <f>Datos!I3/J3</f>
        <v>0.03779316430777586</v>
      </c>
      <c r="L3" s="3">
        <f>Supuestos!$J$2</f>
        <v>0.27</v>
      </c>
      <c r="M3" s="3">
        <f>K3*(1-L3)</f>
        <v>0.027589009944676376</v>
      </c>
      <c r="N3" s="3">
        <f>INDEX(Supuestos!$B$2:$B$7,MATCH(B3,Supuestos!$A$2:$A$7,0))</f>
        <v>0.0151</v>
      </c>
      <c r="O3" s="3">
        <f>INDEX(Supuestos!$C$2:$C$7,MATCH(B3,Supuestos!$A$2:$A$7,0))</f>
        <v>0.0424</v>
      </c>
      <c r="P3" s="3">
        <f>INDEX(Supuestos!$D$2:$D$7,MATCH(B3,Supuestos!$A$2:$A$7,0))</f>
        <v>0.006959</v>
      </c>
      <c r="Q3" s="6">
        <f>INDEX(Betas!$B$2:$G$7,MATCH(Datos!L3,Betas!$A$2:$A$7,0),MATCH(B3,Betas!$B$1:$G$1,0))</f>
        <v>1.0241</v>
      </c>
      <c r="R3" s="6">
        <f>Q3*(1+(1-L3)*I3)</f>
        <v>1.14733384323659</v>
      </c>
      <c r="S3" s="9">
        <f>N3+R3*O3+P3</f>
        <v>0.07070595495323143</v>
      </c>
      <c r="T3" s="9">
        <f>H3*S3+G3*M3</f>
        <v>0.06460432076120715</v>
      </c>
      <c r="U3" s="6">
        <f>INDEX(Betas!$B$2:$G$7,MATCH(Datos!M3,Betas!$A$2:$A$7,0),MATCH(B3,Betas!$B$1:$G$1,0))</f>
        <v>1.0761</v>
      </c>
      <c r="V3" s="6">
        <f>U3*(1+(1-L3)*I3)</f>
        <v>1.2055912007683767</v>
      </c>
      <c r="W3" s="3">
        <f>N3+V3*O3+P3</f>
        <v>0.07317606691257916</v>
      </c>
      <c r="X3" s="3">
        <f>H3*W3+G3*M3</f>
        <v>0.06672487828003751</v>
      </c>
    </row>
    <row r="4" spans="1:24" x14ac:dyDescent="0.25">
      <c r="A4" t="str">
        <f>Datos!A4</f>
        <v>SQM</v>
      </c>
      <c r="B4">
        <f>Datos!B4</f>
        <v>2022</v>
      </c>
      <c r="C4" s="7">
        <f>(Datos!C4*Datos!D4+Datos!E4*Datos!F4)/Datos!G4/1000</f>
        <v>21388689.06910216</v>
      </c>
      <c r="D4" s="7">
        <f>Datos!J4-Datos!K4</f>
        <v>35369</v>
      </c>
      <c r="E4" s="7">
        <f>C4+D4</f>
        <v>21424058.06910216</v>
      </c>
      <c r="F4" s="7">
        <f>Datos!H4</f>
        <v>2848875</v>
      </c>
      <c r="G4" s="3">
        <f>F4/(E4+F4)</f>
        <v>0.11736838691432926</v>
      </c>
      <c r="H4" s="3">
        <f>E4/(E4+F4)</f>
        <v>0.8826316130856707</v>
      </c>
      <c r="I4" s="6">
        <f>F4/E4</f>
        <v>0.13297550775913253</v>
      </c>
      <c r="J4" s="7">
        <f>(F4+F3)/2</f>
        <v>2702193</v>
      </c>
      <c r="K4" s="3">
        <f>Datos!I4/J4</f>
        <v>0.03206691749997132</v>
      </c>
      <c r="L4" s="3">
        <f>Supuestos!$J$2</f>
        <v>0.27</v>
      </c>
      <c r="M4" s="3">
        <f>K4*(1-L4)</f>
        <v>0.023408849774979062</v>
      </c>
      <c r="N4" s="3">
        <f>INDEX(Supuestos!$B$2:$B$7,MATCH(B4,Supuestos!$A$2:$A$7,0))</f>
        <v>0.0388</v>
      </c>
      <c r="O4" s="3">
        <f>INDEX(Supuestos!$C$2:$C$7,MATCH(B4,Supuestos!$A$2:$A$7,0))</f>
        <v>0.0594</v>
      </c>
      <c r="P4" s="3">
        <f>INDEX(Supuestos!$D$2:$D$7,MATCH(B4,Supuestos!$A$2:$A$7,0))</f>
        <v>0.014606</v>
      </c>
      <c r="Q4" s="6">
        <f>INDEX(Betas!$B$2:$G$7,MATCH(Datos!L4,Betas!$A$2:$A$7,0),MATCH(B4,Betas!$B$1:$G$1,0))</f>
        <v>0.9395</v>
      </c>
      <c r="R4" s="6">
        <f>Q4*(1+(1-L4)*I4)</f>
        <v>1.0306992573639846</v>
      </c>
      <c r="S4" s="9">
        <f>N4+R4*O4+P4</f>
        <v>0.11462953588742068</v>
      </c>
      <c r="T4" s="9">
        <f>H4*S4+G4*M4</f>
        <v>0.10392311110518505</v>
      </c>
      <c r="U4" s="6">
        <f>INDEX(Betas!$B$2:$G$7,MATCH(Datos!M4,Betas!$A$2:$A$7,0),MATCH(B4,Betas!$B$1:$G$1,0))</f>
        <v>1.0408</v>
      </c>
      <c r="V4" s="6">
        <f>U4*(1+(1-L4)*I4)</f>
        <v>1.1418326631872646</v>
      </c>
      <c r="W4" s="3">
        <f>N4+V4*O4+P4</f>
        <v>0.12123086019332352</v>
      </c>
      <c r="X4" s="3">
        <f>H4*W4+G4*M4</f>
        <v>0.10974964862580572</v>
      </c>
    </row>
    <row r="5" spans="1:24" x14ac:dyDescent="0.25">
      <c r="A5" t="str">
        <f>Datos!A5</f>
        <v>SQM</v>
      </c>
      <c r="B5">
        <f>Datos!B5</f>
        <v>2023</v>
      </c>
      <c r="C5" s="7">
        <f>(Datos!C5*Datos!D5+Datos!E5*Datos!F5)/Datos!G5/1000</f>
        <v>16717072.2684724</v>
      </c>
      <c r="D5" s="7">
        <f>Datos!J5-Datos!K5</f>
        <v>36230</v>
      </c>
      <c r="E5" s="7">
        <f>C5+D5</f>
        <v>16753302.2684724</v>
      </c>
      <c r="F5" s="7">
        <f>Datos!H5</f>
        <v>4416264</v>
      </c>
      <c r="G5" s="3">
        <f>F5/(E5+F5)</f>
        <v>0.20861381588989344</v>
      </c>
      <c r="H5" s="3">
        <f>E5/(E5+F5)</f>
        <v>0.7913861841101065</v>
      </c>
      <c r="I5" s="6">
        <f>F5/E5</f>
        <v>0.2636055823042632</v>
      </c>
      <c r="J5" s="7">
        <f>(F5+F4)/2</f>
        <v>3632569.5</v>
      </c>
      <c r="K5" s="3">
        <f>Datos!I5/J5</f>
        <v>0.03810030338029321</v>
      </c>
      <c r="L5" s="3">
        <f>Supuestos!$J$2</f>
        <v>0.27</v>
      </c>
      <c r="M5" s="3">
        <f>K5*(1-L5)</f>
        <v>0.02781322146761404</v>
      </c>
      <c r="N5" s="3">
        <f>INDEX(Supuestos!$B$2:$B$7,MATCH(B5,Supuestos!$A$2:$A$7,0))</f>
        <v>0.0388</v>
      </c>
      <c r="O5" s="3">
        <f>INDEX(Supuestos!$C$2:$C$7,MATCH(B5,Supuestos!$A$2:$A$7,0))</f>
        <v>0.046</v>
      </c>
      <c r="P5" s="3">
        <f>INDEX(Supuestos!$D$2:$D$7,MATCH(B5,Supuestos!$A$2:$A$7,0))</f>
        <v>0.012376</v>
      </c>
      <c r="Q5" s="6">
        <f>INDEX(Betas!$B$2:$G$7,MATCH(Datos!L5,Betas!$A$2:$A$7,0),MATCH(B5,Betas!$B$1:$G$1,0))</f>
        <v>0.8626</v>
      </c>
      <c r="R5" s="6">
        <f>Q5*(1+(1-L5)*I5)</f>
        <v>1.0285919079658299</v>
      </c>
      <c r="S5" s="9">
        <f>N5+R5*O5+P5</f>
        <v>0.09849122776642817</v>
      </c>
      <c r="T5" s="9">
        <f>H5*S5+G5*M5</f>
        <v>0.08374681917294263</v>
      </c>
      <c r="U5" s="6">
        <f>INDEX(Betas!$B$2:$G$7,MATCH(Datos!M5,Betas!$A$2:$A$7,0),MATCH(B5,Betas!$B$1:$G$1,0))</f>
        <v>1.0022</v>
      </c>
      <c r="V5" s="6">
        <f>U5*(1+(1-L5)*I5)</f>
        <v>1.1950554256472927</v>
      </c>
      <c r="W5" s="3">
        <f>N5+V5*O5+P5</f>
        <v>0.10614854957977546</v>
      </c>
      <c r="X5" s="3">
        <f>H5*W5+G5*M5</f>
        <v>0.08980671786331063</v>
      </c>
    </row>
    <row r="6" spans="1:24" x14ac:dyDescent="0.25">
      <c r="A6" t="str">
        <f>Datos!A6</f>
        <v>SQM</v>
      </c>
      <c r="B6">
        <f>Datos!B6</f>
        <v>2024</v>
      </c>
      <c r="C6" s="7">
        <f>(Datos!C6*Datos!D6+Datos!E6*Datos!F6)/Datos!G6/1000</f>
        <v>10308348.684167238</v>
      </c>
      <c r="D6" s="7">
        <f>Datos!J6-Datos!K6</f>
        <v>37248</v>
      </c>
      <c r="E6" s="7">
        <f>C6+D6</f>
        <v>10345596.684167238</v>
      </c>
      <c r="F6" s="7">
        <f>Datos!H6</f>
        <v>4734876</v>
      </c>
      <c r="G6" s="3">
        <f>F6/(E6+F6)</f>
        <v>0.3139739780816735</v>
      </c>
      <c r="H6" s="3">
        <f>E6/(E6+F6)</f>
        <v>0.6860260219183265</v>
      </c>
      <c r="I6" s="6">
        <f>F6/E6</f>
        <v>0.4576706539552417</v>
      </c>
      <c r="J6" s="7">
        <f>(F6+F5)/2</f>
        <v>4575570</v>
      </c>
      <c r="K6" s="3">
        <f>Datos!I6/J6</f>
        <v>0.04317363738288344</v>
      </c>
      <c r="L6" s="3">
        <f>Supuestos!$J$2</f>
        <v>0.27</v>
      </c>
      <c r="M6" s="3">
        <f>K6*(1-L6)</f>
        <v>0.031516755289504914</v>
      </c>
      <c r="N6" s="3">
        <f>INDEX(Supuestos!$B$2:$B$7,MATCH(B6,Supuestos!$A$2:$A$7,0))</f>
        <v>0.0458</v>
      </c>
      <c r="O6" s="3">
        <f>INDEX(Supuestos!$C$2:$C$7,MATCH(B6,Supuestos!$A$2:$A$7,0))</f>
        <v>0.0433</v>
      </c>
      <c r="P6" s="3">
        <f>INDEX(Supuestos!$D$2:$D$7,MATCH(B6,Supuestos!$A$2:$A$7,0))</f>
        <v>0.011294</v>
      </c>
      <c r="Q6" s="6">
        <f>INDEX(Betas!$B$2:$G$7,MATCH(Datos!L6,Betas!$A$2:$A$7,0),MATCH(B6,Betas!$B$1:$G$1,0))</f>
        <v>0.8835</v>
      </c>
      <c r="R6" s="6">
        <f>Q6*(1+(1-L6)*I6)</f>
        <v>1.178676976621703</v>
      </c>
      <c r="S6" s="9">
        <f>N6+R6*O6+P6</f>
        <v>0.10813071308771974</v>
      </c>
      <c r="T6" s="9">
        <f>H6*S6+G6*M6</f>
        <v>0.08407592398123279</v>
      </c>
      <c r="U6" s="6">
        <f>INDEX(Betas!$B$2:$G$7,MATCH(Datos!M6,Betas!$A$2:$A$7,0),MATCH(B6,Betas!$B$1:$G$1,0))</f>
        <v>1.0918</v>
      </c>
      <c r="V6" s="6">
        <f>U6*(1+(1-L6)*I6)</f>
        <v>1.4565699185914833</v>
      </c>
      <c r="W6" s="3">
        <f>N6+V6*O6+P6</f>
        <v>0.12016347747501122</v>
      </c>
      <c r="X6" s="3">
        <f>H6*W6+G6*M6</f>
        <v>0.09233071346652687</v>
      </c>
    </row>
    <row r="7" spans="1:24" x14ac:dyDescent="0.25">
      <c r="A7" t="str">
        <f>Datos!A7</f>
        <v>SQM</v>
      </c>
      <c r="B7">
        <f>Datos!B7</f>
        <v>2025</v>
      </c>
      <c r="C7" s="7">
        <f>(Datos!C7*Datos!D7+Datos!E7*Datos!F7)/Datos!G7/1000</f>
        <v>19489596.98420949</v>
      </c>
      <c r="D7" s="7">
        <f>Datos!J7-Datos!K7</f>
        <v>2362617</v>
      </c>
      <c r="E7" s="7">
        <f>C7+D7</f>
        <v>21852213.98420949</v>
      </c>
      <c r="F7" s="7">
        <f>Datos!H7</f>
        <v>4655235</v>
      </c>
      <c r="G7" s="3">
        <f>F7/(E7+F7)</f>
        <v>0.17561987963357498</v>
      </c>
      <c r="H7" s="3">
        <f>E7/(E7+F7)</f>
        <v>0.824380120366425</v>
      </c>
      <c r="I7" s="6">
        <f>F7/E7</f>
        <v>0.21303264755524975</v>
      </c>
      <c r="J7" s="7">
        <f>(F7+F6)/2</f>
        <v>4695055.5</v>
      </c>
      <c r="K7" s="3">
        <f>Datos!I7/J7</f>
        <v>0.041037214576057725</v>
      </c>
      <c r="L7" s="3">
        <f>Supuestos!$J$2</f>
        <v>0.27</v>
      </c>
      <c r="M7" s="3">
        <f>K7*(1-L7)</f>
        <v>0.02995716664052214</v>
      </c>
      <c r="N7" s="3">
        <f>INDEX(Supuestos!$B$2:$B$7,MATCH(B7,Supuestos!$A$2:$A$7,0))</f>
        <v>0.0418</v>
      </c>
      <c r="O7" s="3">
        <f>INDEX(Supuestos!$C$2:$C$7,MATCH(B7,Supuestos!$A$2:$A$7,0))</f>
        <v>0.0423</v>
      </c>
      <c r="P7" s="3">
        <f>INDEX(Supuestos!$D$2:$D$7,MATCH(B7,Supuestos!$A$2:$A$7,0))</f>
        <v>0.010955</v>
      </c>
      <c r="Q7" s="6">
        <f>INDEX(Betas!$B$2:$G$7,MATCH(Datos!L7,Betas!$A$2:$A$7,0),MATCH(B7,Betas!$B$1:$G$1,0))</f>
        <v>1.0271</v>
      </c>
      <c r="R7" s="6">
        <f>Q7*(1+(1-L7)*I7)</f>
        <v>1.1868282575819176</v>
      </c>
      <c r="S7" s="9">
        <f>N7+R7*O7+P7</f>
        <v>0.10295783529571512</v>
      </c>
      <c r="T7" s="9">
        <f>H7*S7+G7*M7</f>
        <v>0.09013746665331963</v>
      </c>
      <c r="U7" s="6">
        <f>INDEX(Betas!$B$2:$G$7,MATCH(Datos!M7,Betas!$A$2:$A$7,0),MATCH(B7,Betas!$B$1:$G$1,0))</f>
        <v>1.3013</v>
      </c>
      <c r="V7" s="6">
        <f>U7*(1+(1-L7)*I7)</f>
        <v>1.5036701505124617</v>
      </c>
      <c r="W7" s="3">
        <f>N7+V7*O7+P7</f>
        <v>0.1163602473666771</v>
      </c>
      <c r="X7" s="3">
        <f>H7*W7+G7*M7</f>
        <v>0.1011861487295797</v>
      </c>
    </row>
    <row r="8" spans="1:24" x14ac:dyDescent="0.25">
      <c r="A8" t="str">
        <f>Datos!A8</f>
        <v>CAP</v>
      </c>
      <c r="B8">
        <f>Datos!B8</f>
        <v>2020</v>
      </c>
      <c r="C8" s="7">
        <f>(Datos!C8*Datos!D8+Datos!E8*Datos!F8)/Datos!G8/1000</f>
        <v>2005627.1146729656</v>
      </c>
      <c r="D8" s="7">
        <f>Datos!J8-Datos!K8</f>
        <v>1403031</v>
      </c>
      <c r="E8" s="7">
        <f>C8+D8</f>
        <v>3408658.1146729654</v>
      </c>
      <c r="F8" s="7">
        <f>Datos!H8</f>
        <v>710115</v>
      </c>
      <c r="G8" s="3">
        <f>F8/(E8+F8)</f>
        <v>0.17240935109298533</v>
      </c>
      <c r="H8" s="3">
        <f>E8/(E8+F8)</f>
        <v>0.8275906489070147</v>
      </c>
      <c r="I8" s="6">
        <f>F8/E8</f>
        <v>0.20832684772439553</v>
      </c>
      <c r="J8" s="7">
        <f>F8</f>
        <v>710115</v>
      </c>
      <c r="K8" s="3">
        <f>Datos!I8/J8</f>
        <v>0.12008618322384403</v>
      </c>
      <c r="L8" s="3">
        <f>Supuestos!$J$2</f>
        <v>0.27</v>
      </c>
      <c r="M8" s="3">
        <f>K8*(1-L8)</f>
        <v>0.08766291375340614</v>
      </c>
      <c r="N8" s="3">
        <f>INDEX(Supuestos!$B$2:$B$7,MATCH(B8,Supuestos!$A$2:$A$7,0))</f>
        <v>0.0093</v>
      </c>
      <c r="O8" s="3">
        <f>INDEX(Supuestos!$C$2:$C$7,MATCH(B8,Supuestos!$A$2:$A$7,0))</f>
        <v>0.0472</v>
      </c>
      <c r="P8" s="3">
        <f>INDEX(Supuestos!$D$2:$D$7,MATCH(B8,Supuestos!$A$2:$A$7,0))</f>
        <v>0.006815</v>
      </c>
      <c r="Q8" s="6">
        <f>INDEX(Betas!$B$2:$G$7,MATCH(Datos!L8,Betas!$A$2:$A$7,0),MATCH(B8,Betas!$B$1:$G$1,0))</f>
        <v>0.8617</v>
      </c>
      <c r="R8" s="6">
        <f>Q8*(1+(1-L8)*I8)</f>
        <v>0.9927461286194015</v>
      </c>
      <c r="S8" s="9">
        <f>N8+R8*O8+P8</f>
        <v>0.06297261727083575</v>
      </c>
      <c r="T8" s="9">
        <f>H8*S8+G8*M8</f>
        <v>0.06722945526568913</v>
      </c>
      <c r="U8" s="6">
        <f>INDEX(Betas!$B$2:$G$7,MATCH(Datos!M8,Betas!$A$2:$A$7,0),MATCH(B8,Betas!$B$1:$G$1,0))</f>
        <v>0.853</v>
      </c>
      <c r="V8" s="6">
        <f>U8*(1+(1-L8)*I8)</f>
        <v>0.9827230448095038</v>
      </c>
      <c r="W8" s="3">
        <f>N8+V8*O8+P8</f>
        <v>0.06249952771500858</v>
      </c>
      <c r="X8" s="3">
        <f>H8*W8+G8*M8</f>
        <v>0.06683793077319099</v>
      </c>
    </row>
    <row r="9" spans="1:24" x14ac:dyDescent="0.25">
      <c r="A9" t="str">
        <f>Datos!A9</f>
        <v>CAP</v>
      </c>
      <c r="B9">
        <f>Datos!B9</f>
        <v>2021</v>
      </c>
      <c r="C9" s="7">
        <f>(Datos!C9*Datos!D9+Datos!E9*Datos!F9)/Datos!G9/1000</f>
        <v>1458887.7737136139</v>
      </c>
      <c r="D9" s="7">
        <f>Datos!J9-Datos!K9</f>
        <v>1424609</v>
      </c>
      <c r="E9" s="7">
        <f>C9+D9</f>
        <v>2883496.773713614</v>
      </c>
      <c r="F9" s="7">
        <f>Datos!H9</f>
        <v>718275</v>
      </c>
      <c r="G9" s="3">
        <f>F9/(E9+F9)</f>
        <v>0.19942268559104764</v>
      </c>
      <c r="H9" s="3">
        <f>E9/(E9+F9)</f>
        <v>0.8005773144089524</v>
      </c>
      <c r="I9" s="6">
        <f>F9/E9</f>
        <v>0.24909859672738388</v>
      </c>
      <c r="J9" s="7">
        <f>(F9+F8)/2</f>
        <v>714195</v>
      </c>
      <c r="K9" s="3">
        <f>Datos!I9/J9</f>
        <v>0.08871386666106595</v>
      </c>
      <c r="L9" s="3">
        <f>Supuestos!$J$2</f>
        <v>0.27</v>
      </c>
      <c r="M9" s="3">
        <f>K9*(1-L9)</f>
        <v>0.06476112266257815</v>
      </c>
      <c r="N9" s="3">
        <f>INDEX(Supuestos!$B$2:$B$7,MATCH(B9,Supuestos!$A$2:$A$7,0))</f>
        <v>0.0151</v>
      </c>
      <c r="O9" s="3">
        <f>INDEX(Supuestos!$C$2:$C$7,MATCH(B9,Supuestos!$A$2:$A$7,0))</f>
        <v>0.0424</v>
      </c>
      <c r="P9" s="3">
        <f>INDEX(Supuestos!$D$2:$D$7,MATCH(B9,Supuestos!$A$2:$A$7,0))</f>
        <v>0.006959</v>
      </c>
      <c r="Q9" s="6">
        <f>INDEX(Betas!$B$2:$G$7,MATCH(Datos!L9,Betas!$A$2:$A$7,0),MATCH(B9,Betas!$B$1:$G$1,0))</f>
        <v>0.9816</v>
      </c>
      <c r="R9" s="6">
        <f>Q9*(1+(1-L9)*I9)</f>
        <v>1.160096083259748</v>
      </c>
      <c r="S9" s="9">
        <f>N9+R9*O9+P9</f>
        <v>0.07124707393021332</v>
      </c>
      <c r="T9" s="9">
        <f>H9*S9+G9*M9</f>
        <v>0.06995362810980886</v>
      </c>
      <c r="U9" s="6">
        <f>INDEX(Betas!$B$2:$G$7,MATCH(Datos!M9,Betas!$A$2:$A$7,0),MATCH(B9,Betas!$B$1:$G$1,0))</f>
        <v>1.0761</v>
      </c>
      <c r="V9" s="6">
        <f>U9*(1+(1-L9)*I9)</f>
        <v>1.2717801499549866</v>
      </c>
      <c r="W9" s="3">
        <f>N9+V9*O9+P9</f>
        <v>0.07598247835809144</v>
      </c>
      <c r="X9" s="3">
        <f>H9*W9+G9*M9</f>
        <v>0.07374468546931978</v>
      </c>
    </row>
    <row r="10" spans="1:24" x14ac:dyDescent="0.25">
      <c r="A10" t="str">
        <f>Datos!A10</f>
        <v>CAP</v>
      </c>
      <c r="B10">
        <f>Datos!B10</f>
        <v>2022</v>
      </c>
      <c r="C10" s="7">
        <f>(Datos!C10*Datos!D10+Datos!E10*Datos!F10)/Datos!G10/1000</f>
        <v>1208437.8057265186</v>
      </c>
      <c r="D10" s="7">
        <f>Datos!J10-Datos!K10</f>
        <v>1404678</v>
      </c>
      <c r="E10" s="7">
        <f>C10+D10</f>
        <v>2613115.805726519</v>
      </c>
      <c r="F10" s="7">
        <f>Datos!H10</f>
        <v>1009542</v>
      </c>
      <c r="G10" s="3">
        <f>F10/(E10+F10)</f>
        <v>0.27867440264552884</v>
      </c>
      <c r="H10" s="3">
        <f>E10/(E10+F10)</f>
        <v>0.7213255973544711</v>
      </c>
      <c r="I10" s="6">
        <f>F10/E10</f>
        <v>0.3863364944590809</v>
      </c>
      <c r="J10" s="7">
        <f>(F10+F9)/2</f>
        <v>863908.5</v>
      </c>
      <c r="K10" s="3">
        <f>Datos!I10/J10</f>
        <v>0.09340572525909863</v>
      </c>
      <c r="L10" s="3">
        <f>Supuestos!$J$2</f>
        <v>0.27</v>
      </c>
      <c r="M10" s="3">
        <f>K10*(1-L10)</f>
        <v>0.068186179439142</v>
      </c>
      <c r="N10" s="3">
        <f>INDEX(Supuestos!$B$2:$B$7,MATCH(B10,Supuestos!$A$2:$A$7,0))</f>
        <v>0.0388</v>
      </c>
      <c r="O10" s="3">
        <f>INDEX(Supuestos!$C$2:$C$7,MATCH(B10,Supuestos!$A$2:$A$7,0))</f>
        <v>0.0594</v>
      </c>
      <c r="P10" s="3">
        <f>INDEX(Supuestos!$D$2:$D$7,MATCH(B10,Supuestos!$A$2:$A$7,0))</f>
        <v>0.014606</v>
      </c>
      <c r="Q10" s="6">
        <f>INDEX(Betas!$B$2:$G$7,MATCH(Datos!L10,Betas!$A$2:$A$7,0),MATCH(B10,Betas!$B$1:$G$1,0))</f>
        <v>0.9393</v>
      </c>
      <c r="R10" s="6">
        <f>Q10*(1+(1-L10)*I10)</f>
        <v>1.2042066845491526</v>
      </c>
      <c r="S10" s="9">
        <f>N10+R10*O10+P10</f>
        <v>0.12493587706221966</v>
      </c>
      <c r="T10" s="9">
        <f>H10*S10+G10*M10</f>
        <v>0.1091211889767941</v>
      </c>
      <c r="U10" s="6">
        <f>INDEX(Betas!$B$2:$G$7,MATCH(Datos!M10,Betas!$A$2:$A$7,0),MATCH(B10,Betas!$B$1:$G$1,0))</f>
        <v>1.0408</v>
      </c>
      <c r="V10" s="6">
        <f>U10*(1+(1-L10)*I10)</f>
        <v>1.334332287106098</v>
      </c>
      <c r="W10" s="3">
        <f>N10+V10*O10+P10</f>
        <v>0.13266533785410223</v>
      </c>
      <c r="X10" s="3">
        <f>H10*W10+G10*M10</f>
        <v>0.11469664689972675</v>
      </c>
    </row>
    <row r="11" spans="1:24" x14ac:dyDescent="0.25">
      <c r="A11" t="str">
        <f>Datos!A11</f>
        <v>CAP</v>
      </c>
      <c r="B11">
        <f>Datos!B11</f>
        <v>2023</v>
      </c>
      <c r="C11" s="7">
        <f>(Datos!C11*Datos!D11+Datos!E11*Datos!F11)/Datos!G11/1000</f>
        <v>1216412.582552369</v>
      </c>
      <c r="D11" s="7">
        <f>Datos!J11-Datos!K11</f>
        <v>1394945</v>
      </c>
      <c r="E11" s="7">
        <f>C11+D11</f>
        <v>2611357.5825523688</v>
      </c>
      <c r="F11" s="7">
        <f>Datos!H11</f>
        <v>1636398</v>
      </c>
      <c r="G11" s="3">
        <f>F11/(E11+F11)</f>
        <v>0.38523826717372706</v>
      </c>
      <c r="H11" s="3">
        <f>E11/(E11+F11)</f>
        <v>0.614761732826273</v>
      </c>
      <c r="I11" s="6">
        <f>F11/E11</f>
        <v>0.6266464657822033</v>
      </c>
      <c r="J11" s="7">
        <f>(F11+F10)/2</f>
        <v>1322970</v>
      </c>
      <c r="K11" s="3">
        <f>Datos!I11/J11</f>
        <v>0.08905946468929757</v>
      </c>
      <c r="L11" s="3">
        <f>Supuestos!$J$2</f>
        <v>0.27</v>
      </c>
      <c r="M11" s="3">
        <f>K11*(1-L11)</f>
        <v>0.06501340922318723</v>
      </c>
      <c r="N11" s="3">
        <f>INDEX(Supuestos!$B$2:$B$7,MATCH(B11,Supuestos!$A$2:$A$7,0))</f>
        <v>0.0388</v>
      </c>
      <c r="O11" s="3">
        <f>INDEX(Supuestos!$C$2:$C$7,MATCH(B11,Supuestos!$A$2:$A$7,0))</f>
        <v>0.046</v>
      </c>
      <c r="P11" s="3">
        <f>INDEX(Supuestos!$D$2:$D$7,MATCH(B11,Supuestos!$A$2:$A$7,0))</f>
        <v>0.012376</v>
      </c>
      <c r="Q11" s="6">
        <f>INDEX(Betas!$B$2:$G$7,MATCH(Datos!L11,Betas!$A$2:$A$7,0),MATCH(B11,Betas!$B$1:$G$1,0))</f>
        <v>0.9048</v>
      </c>
      <c r="R11" s="6">
        <f>Q11*(1+(1-L11)*I11)</f>
        <v>1.3187024972350085</v>
      </c>
      <c r="S11" s="9">
        <f>N11+R11*O11+P11</f>
        <v>0.1118363148728104</v>
      </c>
      <c r="T11" s="9">
        <f>H11*S11+G11*M11</f>
        <v>0.09379833983631067</v>
      </c>
      <c r="U11" s="6">
        <f>INDEX(Betas!$B$2:$G$7,MATCH(Datos!M11,Betas!$A$2:$A$7,0),MATCH(B11,Betas!$B$1:$G$1,0))</f>
        <v>1.0022</v>
      </c>
      <c r="V11" s="6">
        <f>U11*(1+(1-L11)*I11)</f>
        <v>1.4606583142450547</v>
      </c>
      <c r="W11" s="3">
        <f>N11+V11*O11+P11</f>
        <v>0.11836628245527252</v>
      </c>
      <c r="X11" s="3">
        <f>H11*W11+G11*M11</f>
        <v>0.09781271402260447</v>
      </c>
    </row>
    <row r="12" spans="1:24" x14ac:dyDescent="0.25">
      <c r="A12" t="str">
        <f>Datos!A12</f>
        <v>CAP</v>
      </c>
      <c r="B12">
        <f>Datos!B12</f>
        <v>2024</v>
      </c>
      <c r="C12" s="7">
        <f>(Datos!C12*Datos!D12+Datos!E12*Datos!F12)/Datos!G12/1000</f>
        <v>792340.7139458937</v>
      </c>
      <c r="D12" s="7">
        <f>Datos!J12-Datos!K12</f>
        <v>1367992</v>
      </c>
      <c r="E12" s="7">
        <f>C12+D12</f>
        <v>2160332.7139458936</v>
      </c>
      <c r="F12" s="7">
        <f>Datos!H12</f>
        <v>1709061</v>
      </c>
      <c r="G12" s="3">
        <f>F12/(E12+F12)</f>
        <v>0.4416870254997003</v>
      </c>
      <c r="H12" s="3">
        <f>E12/(E12+F12)</f>
        <v>0.5583129745002997</v>
      </c>
      <c r="I12" s="6">
        <f>F12/E12</f>
        <v>0.7911100864081088</v>
      </c>
      <c r="J12" s="7">
        <f>(F12+F11)/2</f>
        <v>1672729.5</v>
      </c>
      <c r="K12" s="3">
        <f>Datos!I12/J12</f>
        <v>0.0727959900270785</v>
      </c>
      <c r="L12" s="3">
        <f>Supuestos!$J$2</f>
        <v>0.27</v>
      </c>
      <c r="M12" s="3">
        <f>K12*(1-L12)</f>
        <v>0.0531410727197673</v>
      </c>
      <c r="N12" s="3">
        <f>INDEX(Supuestos!$B$2:$B$7,MATCH(B12,Supuestos!$A$2:$A$7,0))</f>
        <v>0.0458</v>
      </c>
      <c r="O12" s="3">
        <f>INDEX(Supuestos!$C$2:$C$7,MATCH(B12,Supuestos!$A$2:$A$7,0))</f>
        <v>0.0433</v>
      </c>
      <c r="P12" s="3">
        <f>INDEX(Supuestos!$D$2:$D$7,MATCH(B12,Supuestos!$A$2:$A$7,0))</f>
        <v>0.011294</v>
      </c>
      <c r="Q12" s="6">
        <f>INDEX(Betas!$B$2:$G$7,MATCH(Datos!L12,Betas!$A$2:$A$7,0),MATCH(B12,Betas!$B$1:$G$1,0))</f>
        <v>0.8113</v>
      </c>
      <c r="R12" s="6">
        <f>Q12*(1+(1-L12)*I12)</f>
        <v>1.2798341575651162</v>
      </c>
      <c r="S12" s="9">
        <f>N12+R12*O12+P12</f>
        <v>0.11251081902256953</v>
      </c>
      <c r="T12" s="9">
        <f>H12*S12+G12*M12</f>
        <v>0.08628797237341299</v>
      </c>
      <c r="U12" s="6">
        <f>INDEX(Betas!$B$2:$G$7,MATCH(Datos!M12,Betas!$A$2:$A$7,0),MATCH(B12,Betas!$B$1:$G$1,0))</f>
        <v>1.0918</v>
      </c>
      <c r="V12" s="6">
        <f>U12*(1+(1-L12)*I12)</f>
        <v>1.7223258144084725</v>
      </c>
      <c r="W12" s="3">
        <f>N12+V12*O12+P12</f>
        <v>0.13167070776388687</v>
      </c>
      <c r="X12" s="3">
        <f>H12*W12+G12*M12</f>
        <v>0.09698518684767268</v>
      </c>
    </row>
    <row r="13" spans="1:24" x14ac:dyDescent="0.25">
      <c r="A13" t="str">
        <f>Datos!A13</f>
        <v>CAP</v>
      </c>
      <c r="B13">
        <f>Datos!B13</f>
        <v>2025</v>
      </c>
      <c r="C13" s="7">
        <f>(Datos!C13*Datos!D13+Datos!E13*Datos!F13)/Datos!G13/1000</f>
        <v>1216998.826839922</v>
      </c>
      <c r="D13" s="7">
        <f>Datos!J13-Datos!K13</f>
        <v>1283655</v>
      </c>
      <c r="E13" s="7">
        <f>C13+D13</f>
        <v>2500653.826839922</v>
      </c>
      <c r="F13" s="7">
        <f>Datos!H13</f>
        <v>1780319</v>
      </c>
      <c r="G13" s="3">
        <f>F13/(E13+F13)</f>
        <v>0.41586785808079396</v>
      </c>
      <c r="H13" s="3">
        <f>E13/(E13+F13)</f>
        <v>0.584132141919206</v>
      </c>
      <c r="I13" s="6">
        <f>F13/E13</f>
        <v>0.7119414054402685</v>
      </c>
      <c r="J13" s="7">
        <f>(F13+F12)/2</f>
        <v>1744690</v>
      </c>
      <c r="K13" s="3">
        <f>Datos!I13/J13</f>
        <v>0.07421604984266546</v>
      </c>
      <c r="L13" s="3">
        <f>Supuestos!$J$2</f>
        <v>0.27</v>
      </c>
      <c r="M13" s="3">
        <f>K13*(1-L13)</f>
        <v>0.054177716385145784</v>
      </c>
      <c r="N13" s="3">
        <f>INDEX(Supuestos!$B$2:$B$7,MATCH(B13,Supuestos!$A$2:$A$7,0))</f>
        <v>0.0418</v>
      </c>
      <c r="O13" s="3">
        <f>INDEX(Supuestos!$C$2:$C$7,MATCH(B13,Supuestos!$A$2:$A$7,0))</f>
        <v>0.0423</v>
      </c>
      <c r="P13" s="3">
        <f>INDEX(Supuestos!$D$2:$D$7,MATCH(B13,Supuestos!$A$2:$A$7,0))</f>
        <v>0.010955</v>
      </c>
      <c r="Q13" s="6">
        <f>INDEX(Betas!$B$2:$G$7,MATCH(Datos!L13,Betas!$A$2:$A$7,0),MATCH(B13,Betas!$B$1:$G$1,0))</f>
        <v>0.8371</v>
      </c>
      <c r="R13" s="6">
        <f>Q13*(1+(1-L13)*I13)</f>
        <v>1.2721552898606556</v>
      </c>
      <c r="S13" s="9">
        <f>N13+R13*O13+P13</f>
        <v>0.10656716876110572</v>
      </c>
      <c r="T13" s="9">
        <f>H13*S13+G13*M13</f>
        <v>0.0847800794154895</v>
      </c>
      <c r="U13" s="6">
        <f>INDEX(Betas!$B$2:$G$7,MATCH(Datos!M13,Betas!$A$2:$A$7,0),MATCH(B13,Betas!$B$1:$G$1,0))</f>
        <v>1.3013</v>
      </c>
      <c r="V13" s="6">
        <f>U13*(1+(1-L13)*I13)</f>
        <v>1.9776080261565776</v>
      </c>
      <c r="W13" s="3">
        <f>N13+V13*O13+P13</f>
        <v>0.13640781950642322</v>
      </c>
      <c r="X13" s="3">
        <f>H13*W13+G13*M13</f>
        <v>0.10221096265161476</v>
      </c>
    </row>
    <row r="14" spans="1:24" x14ac:dyDescent="0.25">
      <c r="A14" t="str">
        <f>Datos!A14</f>
        <v>Molymet</v>
      </c>
      <c r="B14">
        <f>Datos!B14</f>
        <v>2020</v>
      </c>
      <c r="C14" s="7">
        <f>(Datos!C14*Datos!D14+Datos!E14*Datos!F14)/Datos!G14/1000</f>
        <v>998560.6593554917</v>
      </c>
      <c r="D14" s="7">
        <f>Datos!J14-Datos!K14</f>
        <v>1447</v>
      </c>
      <c r="E14" s="7">
        <f>C14+D14</f>
        <v>1000007.6593554917</v>
      </c>
      <c r="F14" s="7">
        <f>Datos!H14</f>
        <v>192400</v>
      </c>
      <c r="G14" s="3">
        <f>F14/(E14+F14)</f>
        <v>0.16135421346085121</v>
      </c>
      <c r="H14" s="3">
        <f>E14/(E14+F14)</f>
        <v>0.8386457865391487</v>
      </c>
      <c r="I14" s="6">
        <f>F14/E14</f>
        <v>0.1923985263512906</v>
      </c>
      <c r="J14" s="7">
        <f>F14</f>
        <v>192400</v>
      </c>
      <c r="K14" s="3">
        <f>Datos!I14/J14</f>
        <v>0.07066528066528066</v>
      </c>
      <c r="L14" s="3">
        <f>Supuestos!$J$2</f>
        <v>0.27</v>
      </c>
      <c r="M14" s="3">
        <f>K14*(1-L14)</f>
        <v>0.051585654885654884</v>
      </c>
      <c r="N14" s="3">
        <f>INDEX(Supuestos!$B$2:$B$7,MATCH(B14,Supuestos!$A$2:$A$7,0))</f>
        <v>0.0093</v>
      </c>
      <c r="O14" s="3">
        <f>INDEX(Supuestos!$C$2:$C$7,MATCH(B14,Supuestos!$A$2:$A$7,0))</f>
        <v>0.0472</v>
      </c>
      <c r="P14" s="3">
        <f>INDEX(Supuestos!$D$2:$D$7,MATCH(B14,Supuestos!$A$2:$A$7,0))</f>
        <v>0.006815</v>
      </c>
      <c r="Q14" s="6">
        <f>INDEX(Betas!$B$2:$G$7,MATCH(Datos!L14,Betas!$A$2:$A$7,0),MATCH(B14,Betas!$B$1:$G$1,0))</f>
        <v>0.853</v>
      </c>
      <c r="R14" s="6">
        <f>Q14*(1+(1-L14)*I14)</f>
        <v>0.972804638373685</v>
      </c>
      <c r="S14" s="9">
        <f>N14+R14*O14+P14</f>
        <v>0.06203137893123793</v>
      </c>
      <c r="T14" s="9">
        <f>H14*S14+G14*M14</f>
        <v>0.06034591734383377</v>
      </c>
      <c r="U14" s="6">
        <f>INDEX(Betas!$B$2:$G$7,MATCH(Datos!M14,Betas!$A$2:$A$7,0),MATCH(B14,Betas!$B$1:$G$1,0))</f>
        <v>0.8617</v>
      </c>
      <c r="V14" s="6">
        <f>U14*(1+(1-L14)*I14)</f>
        <v>0.9827265614145421</v>
      </c>
      <c r="W14" s="3">
        <f>N14+V14*O14+P14</f>
        <v>0.06249969369876639</v>
      </c>
      <c r="X14" s="3">
        <f>H14*W14+G14*M14</f>
        <v>0.06073866755039557</v>
      </c>
    </row>
    <row r="15" spans="1:24" x14ac:dyDescent="0.25">
      <c r="A15" t="str">
        <f>Datos!A15</f>
        <v>Molymet</v>
      </c>
      <c r="B15">
        <f>Datos!B15</f>
        <v>2021</v>
      </c>
      <c r="C15" s="7">
        <f>(Datos!C15*Datos!D15+Datos!E15*Datos!F15)/Datos!G15/1000</f>
        <v>641337.425933549</v>
      </c>
      <c r="D15" s="7">
        <f>Datos!J15-Datos!K15</f>
        <v>1327</v>
      </c>
      <c r="E15" s="7">
        <f>C15+D15</f>
        <v>642664.425933549</v>
      </c>
      <c r="F15" s="7">
        <f>Datos!H15</f>
        <v>517777</v>
      </c>
      <c r="G15" s="3">
        <f>F15/(E15+F15)</f>
        <v>0.4461896899134397</v>
      </c>
      <c r="H15" s="3">
        <f>E15/(E15+F15)</f>
        <v>0.5538103100865603</v>
      </c>
      <c r="I15" s="6">
        <f>F15/E15</f>
        <v>0.8056724148810094</v>
      </c>
      <c r="J15" s="7">
        <f>(F15+F14)/2</f>
        <v>355088.5</v>
      </c>
      <c r="K15" s="3">
        <f>Datos!I15/J15</f>
        <v>0.03905505247283424</v>
      </c>
      <c r="L15" s="3">
        <f>Supuestos!$J$2</f>
        <v>0.27</v>
      </c>
      <c r="M15" s="3">
        <f>K15*(1-L15)</f>
        <v>0.028510188305168993</v>
      </c>
      <c r="N15" s="3">
        <f>INDEX(Supuestos!$B$2:$B$7,MATCH(B15,Supuestos!$A$2:$A$7,0))</f>
        <v>0.0151</v>
      </c>
      <c r="O15" s="3">
        <f>INDEX(Supuestos!$C$2:$C$7,MATCH(B15,Supuestos!$A$2:$A$7,0))</f>
        <v>0.0424</v>
      </c>
      <c r="P15" s="3">
        <f>INDEX(Supuestos!$D$2:$D$7,MATCH(B15,Supuestos!$A$2:$A$7,0))</f>
        <v>0.006959</v>
      </c>
      <c r="Q15" s="6">
        <f>INDEX(Betas!$B$2:$G$7,MATCH(Datos!L15,Betas!$A$2:$A$7,0),MATCH(B15,Betas!$B$1:$G$1,0))</f>
        <v>1.0761</v>
      </c>
      <c r="R15" s="6">
        <f>Q15*(1+(1-L15)*I15)</f>
        <v>1.7089983825270216</v>
      </c>
      <c r="S15" s="9">
        <f>N15+R15*O15+P15</f>
        <v>0.09452053141914571</v>
      </c>
      <c r="T15" s="9">
        <f>H15*S15+G15*M15</f>
        <v>0.06506739689404067</v>
      </c>
      <c r="U15" s="6">
        <f>INDEX(Betas!$B$2:$G$7,MATCH(Datos!M15,Betas!$A$2:$A$7,0),MATCH(B15,Betas!$B$1:$G$1,0))</f>
        <v>0.9816</v>
      </c>
      <c r="V15" s="6">
        <f>U15*(1+(1-L15)*I15)</f>
        <v>1.558919070986455</v>
      </c>
      <c r="W15" s="3">
        <f>N15+V15*O15+P15</f>
        <v>0.0881571686098257</v>
      </c>
      <c r="X15" s="3">
        <f>H15*W15+G15*M15</f>
        <v>0.06154330096341788</v>
      </c>
    </row>
    <row r="16" spans="1:24" x14ac:dyDescent="0.25">
      <c r="A16" t="str">
        <f>Datos!A16</f>
        <v>Molymet</v>
      </c>
      <c r="B16">
        <f>Datos!B16</f>
        <v>2022</v>
      </c>
      <c r="C16" s="7">
        <f>(Datos!C16*Datos!D16+Datos!E16*Datos!F16)/Datos!G16/1000</f>
        <v>525971.698091238</v>
      </c>
      <c r="D16" s="7">
        <f>Datos!J16-Datos!K16</f>
        <v>1302</v>
      </c>
      <c r="E16" s="7">
        <f>C16+D16</f>
        <v>527273.698091238</v>
      </c>
      <c r="F16" s="7">
        <f>Datos!H16</f>
        <v>467119</v>
      </c>
      <c r="G16" s="3">
        <f>F16/(E16+F16)</f>
        <v>0.46975304715797567</v>
      </c>
      <c r="H16" s="3">
        <f>E16/(E16+F16)</f>
        <v>0.5302469528420244</v>
      </c>
      <c r="I16" s="6">
        <f>F16/E16</f>
        <v>0.8859137136765941</v>
      </c>
      <c r="J16" s="7">
        <f>(F16+F15)/2</f>
        <v>492448</v>
      </c>
      <c r="K16" s="3">
        <f>Datos!I16/J16</f>
        <v>0.050318003119111054</v>
      </c>
      <c r="L16" s="3">
        <f>Supuestos!$J$2</f>
        <v>0.27</v>
      </c>
      <c r="M16" s="3">
        <f>K16*(1-L16)</f>
        <v>0.03673214227695107</v>
      </c>
      <c r="N16" s="3">
        <f>INDEX(Supuestos!$B$2:$B$7,MATCH(B16,Supuestos!$A$2:$A$7,0))</f>
        <v>0.0388</v>
      </c>
      <c r="O16" s="3">
        <f>INDEX(Supuestos!$C$2:$C$7,MATCH(B16,Supuestos!$A$2:$A$7,0))</f>
        <v>0.0594</v>
      </c>
      <c r="P16" s="3">
        <f>INDEX(Supuestos!$D$2:$D$7,MATCH(B16,Supuestos!$A$2:$A$7,0))</f>
        <v>0.014606</v>
      </c>
      <c r="Q16" s="6">
        <f>INDEX(Betas!$B$2:$G$7,MATCH(Datos!L16,Betas!$A$2:$A$7,0),MATCH(B16,Betas!$B$1:$G$1,0))</f>
        <v>1.0408</v>
      </c>
      <c r="R16" s="6">
        <f>Q16*(1+(1-L16)*I16)</f>
        <v>1.7139030650320572</v>
      </c>
      <c r="S16" s="9">
        <f>N16+R16*O16+P16</f>
        <v>0.15521184206290423</v>
      </c>
      <c r="T16" s="9">
        <f>H16*S16+G16*M16</f>
        <v>0.09955564206209058</v>
      </c>
      <c r="U16" s="6">
        <f>INDEX(Betas!$B$2:$G$7,MATCH(Datos!M16,Betas!$A$2:$A$7,0),MATCH(B16,Betas!$B$1:$G$1,0))</f>
        <v>0.9393</v>
      </c>
      <c r="V16" s="6">
        <f>U16*(1+(1-L16)*I16)</f>
        <v>1.5467612884171902</v>
      </c>
      <c r="W16" s="3">
        <f>N16+V16*O16+P16</f>
        <v>0.14528362053198113</v>
      </c>
      <c r="X16" s="3">
        <f>H16*W16+G16*M16</f>
        <v>0.09429123284817803</v>
      </c>
    </row>
    <row r="17" spans="1:24" x14ac:dyDescent="0.25">
      <c r="A17" t="str">
        <f>Datos!A17</f>
        <v>Molymet</v>
      </c>
      <c r="B17">
        <f>Datos!B17</f>
        <v>2023</v>
      </c>
      <c r="C17" s="7">
        <f>(Datos!C17*Datos!D17+Datos!E17*Datos!F17)/Datos!G17/1000</f>
        <v>563817.5765043693</v>
      </c>
      <c r="D17" s="7">
        <f>Datos!J17-Datos!K17</f>
        <v>1226</v>
      </c>
      <c r="E17" s="7">
        <f>C17+D17</f>
        <v>565043.5765043693</v>
      </c>
      <c r="F17" s="7">
        <f>Datos!H17</f>
        <v>763083</v>
      </c>
      <c r="G17" s="3">
        <f>F17/(E17+F17)</f>
        <v>0.5745559297581676</v>
      </c>
      <c r="H17" s="3">
        <f>E17/(E17+F17)</f>
        <v>0.4254440702418324</v>
      </c>
      <c r="I17" s="6">
        <f>F17/E17</f>
        <v>1.350485222256304</v>
      </c>
      <c r="J17" s="7">
        <f>(F17+F16)/2</f>
        <v>615101</v>
      </c>
      <c r="K17" s="3">
        <f>Datos!I17/J17</f>
        <v>0.08815137676576693</v>
      </c>
      <c r="L17" s="3">
        <f>Supuestos!$J$2</f>
        <v>0.27</v>
      </c>
      <c r="M17" s="3">
        <f>K17*(1-L17)</f>
        <v>0.06435050503900985</v>
      </c>
      <c r="N17" s="3">
        <f>INDEX(Supuestos!$B$2:$B$7,MATCH(B17,Supuestos!$A$2:$A$7,0))</f>
        <v>0.0388</v>
      </c>
      <c r="O17" s="3">
        <f>INDEX(Supuestos!$C$2:$C$7,MATCH(B17,Supuestos!$A$2:$A$7,0))</f>
        <v>0.046</v>
      </c>
      <c r="P17" s="3">
        <f>INDEX(Supuestos!$D$2:$D$7,MATCH(B17,Supuestos!$A$2:$A$7,0))</f>
        <v>0.012376</v>
      </c>
      <c r="Q17" s="6">
        <f>INDEX(Betas!$B$2:$G$7,MATCH(Datos!L17,Betas!$A$2:$A$7,0),MATCH(B17,Betas!$B$1:$G$1,0))</f>
        <v>1.0022</v>
      </c>
      <c r="R17" s="6">
        <f>Q17*(1+(1-L17)*I17)</f>
        <v>1.9902230915140455</v>
      </c>
      <c r="S17" s="9">
        <f>N17+R17*O17+P17</f>
        <v>0.1427262622096461</v>
      </c>
      <c r="T17" s="9">
        <f>H17*S17+G17*M17</f>
        <v>0.0976950061779708</v>
      </c>
      <c r="U17" s="6">
        <f>INDEX(Betas!$B$2:$G$7,MATCH(Datos!M17,Betas!$A$2:$A$7,0),MATCH(B17,Betas!$B$1:$G$1,0))</f>
        <v>0.9048</v>
      </c>
      <c r="V17" s="6">
        <f>U17*(1+(1-L17)*I17)</f>
        <v>1.796800891241178</v>
      </c>
      <c r="W17" s="3">
        <f>N17+V17*O17+P17</f>
        <v>0.1338288409970942</v>
      </c>
      <c r="X17" s="3">
        <f>H17*W17+G17*M17</f>
        <v>0.0939096510826467</v>
      </c>
    </row>
    <row r="18" spans="1:24" x14ac:dyDescent="0.25">
      <c r="A18" t="str">
        <f>Datos!A18</f>
        <v>Molymet</v>
      </c>
      <c r="B18">
        <f>Datos!B18</f>
        <v>2024</v>
      </c>
      <c r="C18" s="7">
        <f>(Datos!C18*Datos!D18+Datos!E18*Datos!F18)/Datos!G18/1000</f>
        <v>455789.2529129541</v>
      </c>
      <c r="D18" s="7">
        <f>Datos!J18-Datos!K18</f>
        <v>1400</v>
      </c>
      <c r="E18" s="7">
        <f>C18+D18</f>
        <v>457189.2529129541</v>
      </c>
      <c r="F18" s="7">
        <f>Datos!H18</f>
        <v>396480</v>
      </c>
      <c r="G18" s="3">
        <f>F18/(E18+F18)</f>
        <v>0.4644421696659465</v>
      </c>
      <c r="H18" s="3">
        <f>E18/(E18+F18)</f>
        <v>0.5355578303340535</v>
      </c>
      <c r="I18" s="6">
        <f>F18/E18</f>
        <v>0.8672119860076573</v>
      </c>
      <c r="J18" s="7">
        <f>(F18+F17)/2</f>
        <v>579781.5</v>
      </c>
      <c r="K18" s="3">
        <f>Datos!I18/J18</f>
        <v>0.07339661579405345</v>
      </c>
      <c r="L18" s="3">
        <f>Supuestos!$J$2</f>
        <v>0.27</v>
      </c>
      <c r="M18" s="3">
        <f>K18*(1-L18)</f>
        <v>0.05357952952965901</v>
      </c>
      <c r="N18" s="3">
        <f>INDEX(Supuestos!$B$2:$B$7,MATCH(B18,Supuestos!$A$2:$A$7,0))</f>
        <v>0.0458</v>
      </c>
      <c r="O18" s="3">
        <f>INDEX(Supuestos!$C$2:$C$7,MATCH(B18,Supuestos!$A$2:$A$7,0))</f>
        <v>0.0433</v>
      </c>
      <c r="P18" s="3">
        <f>INDEX(Supuestos!$D$2:$D$7,MATCH(B18,Supuestos!$A$2:$A$7,0))</f>
        <v>0.011294</v>
      </c>
      <c r="Q18" s="6">
        <f>INDEX(Betas!$B$2:$G$7,MATCH(Datos!L18,Betas!$A$2:$A$7,0),MATCH(B18,Betas!$B$1:$G$1,0))</f>
        <v>1.0918</v>
      </c>
      <c r="R18" s="6">
        <f>Q18*(1+(1-L18)*I18)</f>
        <v>1.782980093815907</v>
      </c>
      <c r="S18" s="9">
        <f>N18+R18*O18+P18</f>
        <v>0.13429703806222876</v>
      </c>
      <c r="T18" s="9">
        <f>H18*S18+G18*M18</f>
        <v>0.09680842326933252</v>
      </c>
      <c r="U18" s="6">
        <f>INDEX(Betas!$B$2:$G$7,MATCH(Datos!M18,Betas!$A$2:$A$7,0),MATCH(B18,Betas!$B$1:$G$1,0))</f>
        <v>0.8113</v>
      </c>
      <c r="V18" s="6">
        <f>U18*(1+(1-L18)*I18)</f>
        <v>1.324905431501049</v>
      </c>
      <c r="W18" s="3">
        <f>N18+V18*O18+P18</f>
        <v>0.11446240518399542</v>
      </c>
      <c r="X18" s="3">
        <f>H18*W18+G18*M18</f>
        <v>0.08618583031959338</v>
      </c>
    </row>
    <row r="19" spans="1:24" x14ac:dyDescent="0.25">
      <c r="A19" t="str">
        <f>Datos!A19</f>
        <v>Molymet</v>
      </c>
      <c r="B19">
        <f>Datos!B19</f>
        <v>2025</v>
      </c>
      <c r="C19" s="7">
        <f>(Datos!C19*Datos!D19+Datos!E19*Datos!F19)/Datos!G19/1000</f>
        <v>904975.6193068329</v>
      </c>
      <c r="D19" s="7">
        <f>Datos!J19-Datos!K19</f>
        <v>1540</v>
      </c>
      <c r="E19" s="7">
        <f>C19+D19</f>
        <v>906515.6193068329</v>
      </c>
      <c r="F19" s="7">
        <f>Datos!H19</f>
        <v>499231</v>
      </c>
      <c r="G19" s="3">
        <f>F19/(E19+F19)</f>
        <v>0.3551358353941256</v>
      </c>
      <c r="H19" s="3">
        <f>E19/(E19+F19)</f>
        <v>0.6448641646058744</v>
      </c>
      <c r="I19" s="6">
        <f>F19/E19</f>
        <v>0.550714173443296</v>
      </c>
      <c r="J19" s="7">
        <f>(F19+F18)/2</f>
        <v>447855.5</v>
      </c>
      <c r="K19" s="3">
        <f>Datos!I19/J19</f>
        <v>0.08393332224344682</v>
      </c>
      <c r="L19" s="3">
        <f>Supuestos!$J$2</f>
        <v>0.27</v>
      </c>
      <c r="M19" s="3">
        <f>K19*(1-L19)</f>
        <v>0.06127132523771618</v>
      </c>
      <c r="N19" s="3">
        <f>INDEX(Supuestos!$B$2:$B$7,MATCH(B19,Supuestos!$A$2:$A$7,0))</f>
        <v>0.0418</v>
      </c>
      <c r="O19" s="3">
        <f>INDEX(Supuestos!$C$2:$C$7,MATCH(B19,Supuestos!$A$2:$A$7,0))</f>
        <v>0.0423</v>
      </c>
      <c r="P19" s="3">
        <f>INDEX(Supuestos!$D$2:$D$7,MATCH(B19,Supuestos!$A$2:$A$7,0))</f>
        <v>0.010955</v>
      </c>
      <c r="Q19" s="6">
        <f>INDEX(Betas!$B$2:$G$7,MATCH(Datos!L19,Betas!$A$2:$A$7,0),MATCH(B19,Betas!$B$1:$G$1,0))</f>
        <v>1.3013</v>
      </c>
      <c r="R19" s="6">
        <f>Q19*(1+(1-L19)*I19)</f>
        <v>1.8244503783482853</v>
      </c>
      <c r="S19" s="9">
        <f>N19+R19*O19+P19</f>
        <v>0.12992925100413244</v>
      </c>
      <c r="T19" s="9">
        <f>H19*S19+G19*M19</f>
        <v>0.10554636118064833</v>
      </c>
      <c r="U19" s="6">
        <f>INDEX(Betas!$B$2:$G$7,MATCH(Datos!M19,Betas!$A$2:$A$7,0),MATCH(B19,Betas!$B$1:$G$1,0))</f>
        <v>0.8371</v>
      </c>
      <c r="V19" s="6">
        <f>U19*(1+(1-L19)*I19)</f>
        <v>1.1736320692502495</v>
      </c>
      <c r="W19" s="3">
        <f>N19+V19*O19+P19</f>
        <v>0.10239963652928555</v>
      </c>
      <c r="X19" s="3">
        <f>H19*W19+G19*M19</f>
        <v>0.0877934993404044</v>
      </c>
    </row>
    <row r="20" spans="1:24" x14ac:dyDescent="0.25">
      <c r="A20" t="str">
        <f>Datos!A20</f>
        <v>Enaex</v>
      </c>
      <c r="B20">
        <f>Datos!B20</f>
        <v>2020</v>
      </c>
      <c r="C20" s="7">
        <f>(Datos!C20*Datos!D20+Datos!E20*Datos!F20)/Datos!G20/1000</f>
        <v>1239044.6262864857</v>
      </c>
      <c r="D20" s="7">
        <f>Datos!J20-Datos!K20</f>
        <v>37061</v>
      </c>
      <c r="E20" s="7">
        <f>C20+D20</f>
        <v>1276105.6262864857</v>
      </c>
      <c r="F20" s="7">
        <f>Datos!H20</f>
        <v>383025</v>
      </c>
      <c r="G20" s="3">
        <f>F20/(E20+F20)</f>
        <v>0.23085885700108957</v>
      </c>
      <c r="H20" s="3">
        <f>E20/(E20+F20)</f>
        <v>0.7691411429989105</v>
      </c>
      <c r="I20" s="6">
        <f>F20/E20</f>
        <v>0.30015148598209446</v>
      </c>
      <c r="J20" s="7">
        <f>F20</f>
        <v>383025</v>
      </c>
      <c r="K20" s="3">
        <f>Datos!I20/J20</f>
        <v>0.0387546504797337</v>
      </c>
      <c r="L20" s="3">
        <f>Supuestos!$J$2</f>
        <v>0.27</v>
      </c>
      <c r="M20" s="3">
        <f>K20*(1-L20)</f>
        <v>0.0282908948502056</v>
      </c>
      <c r="N20" s="3">
        <f>INDEX(Supuestos!$B$2:$B$7,MATCH(B20,Supuestos!$A$2:$A$7,0))</f>
        <v>0.0093</v>
      </c>
      <c r="O20" s="3">
        <f>INDEX(Supuestos!$C$2:$C$7,MATCH(B20,Supuestos!$A$2:$A$7,0))</f>
        <v>0.0472</v>
      </c>
      <c r="P20" s="3">
        <f>INDEX(Supuestos!$D$2:$D$7,MATCH(B20,Supuestos!$A$2:$A$7,0))</f>
        <v>0.006815</v>
      </c>
      <c r="Q20" s="6">
        <f>INDEX(Betas!$B$2:$G$7,MATCH(Datos!L20,Betas!$A$2:$A$7,0),MATCH(B20,Betas!$B$1:$G$1,0))</f>
        <v>0.8795</v>
      </c>
      <c r="R20" s="6">
        <f>Q20*(1+(1-L20)*I20)</f>
        <v>1.072207759302514</v>
      </c>
      <c r="S20" s="9">
        <f>N20+R20*O20+P20</f>
        <v>0.06672320623907867</v>
      </c>
      <c r="T20" s="9">
        <f>H20*S20+G20*M20</f>
        <v>0.057850766759933475</v>
      </c>
      <c r="U20" s="6">
        <f>INDEX(Betas!$B$2:$G$7,MATCH(Datos!M20,Betas!$A$2:$A$7,0),MATCH(B20,Betas!$B$1:$G$1,0))</f>
        <v>0.9764</v>
      </c>
      <c r="V20" s="6">
        <f>U20*(1+(1-L20)*I20)</f>
        <v>1.1903395749664296</v>
      </c>
      <c r="W20" s="3">
        <f>N20+V20*O20+P20</f>
        <v>0.07229902793841547</v>
      </c>
      <c r="X20" s="3">
        <f>H20*W20+G20*M20</f>
        <v>0.06213936063491951</v>
      </c>
    </row>
    <row r="21" spans="1:24" x14ac:dyDescent="0.25">
      <c r="A21" t="str">
        <f>Datos!A21</f>
        <v>Enaex</v>
      </c>
      <c r="B21">
        <f>Datos!B21</f>
        <v>2021</v>
      </c>
      <c r="C21" s="7">
        <f>(Datos!C21*Datos!D21+Datos!E21*Datos!F21)/Datos!G21/1000</f>
        <v>1016361.1878859159</v>
      </c>
      <c r="D21" s="7">
        <f>Datos!J21-Datos!K21</f>
        <v>37869</v>
      </c>
      <c r="E21" s="7">
        <f>C21+D21</f>
        <v>1054230.1878859159</v>
      </c>
      <c r="F21" s="7">
        <f>Datos!H21</f>
        <v>427705</v>
      </c>
      <c r="G21" s="3">
        <f>F21/(E21+F21)</f>
        <v>0.28861248689974833</v>
      </c>
      <c r="H21" s="3">
        <f>E21/(E21+F21)</f>
        <v>0.7113875131002516</v>
      </c>
      <c r="I21" s="6">
        <f>F21/E21</f>
        <v>0.40570361664343113</v>
      </c>
      <c r="J21" s="7">
        <f>(F21+F20)/2</f>
        <v>405365</v>
      </c>
      <c r="K21" s="3">
        <f>Datos!I21/J21</f>
        <v>0.03737619182711877</v>
      </c>
      <c r="L21" s="3">
        <f>Supuestos!$J$2</f>
        <v>0.27</v>
      </c>
      <c r="M21" s="3">
        <f>K21*(1-L21)</f>
        <v>0.027284620033796704</v>
      </c>
      <c r="N21" s="3">
        <f>INDEX(Supuestos!$B$2:$B$7,MATCH(B21,Supuestos!$A$2:$A$7,0))</f>
        <v>0.0151</v>
      </c>
      <c r="O21" s="3">
        <f>INDEX(Supuestos!$C$2:$C$7,MATCH(B21,Supuestos!$A$2:$A$7,0))</f>
        <v>0.0424</v>
      </c>
      <c r="P21" s="3">
        <f>INDEX(Supuestos!$D$2:$D$7,MATCH(B21,Supuestos!$A$2:$A$7,0))</f>
        <v>0.006959</v>
      </c>
      <c r="Q21" s="6">
        <f>INDEX(Betas!$B$2:$G$7,MATCH(Datos!L21,Betas!$A$2:$A$7,0),MATCH(B21,Betas!$B$1:$G$1,0))</f>
        <v>0.9509</v>
      </c>
      <c r="R21" s="6">
        <f>Q21*(1+(1-L21)*I21)</f>
        <v>1.232522005418354</v>
      </c>
      <c r="S21" s="9">
        <f>N21+R21*O21+P21</f>
        <v>0.07431793302973821</v>
      </c>
      <c r="T21" s="9">
        <f>H21*S21+G21*M21</f>
        <v>0.06074353159884528</v>
      </c>
      <c r="U21" s="6">
        <f>INDEX(Betas!$B$2:$G$7,MATCH(Datos!M21,Betas!$A$2:$A$7,0),MATCH(B21,Betas!$B$1:$G$1,0))</f>
        <v>1.0241</v>
      </c>
      <c r="V21" s="6">
        <f>U21*(1+(1-L21)*I21)</f>
        <v>1.3274011838773128</v>
      </c>
      <c r="W21" s="3">
        <f>N21+V21*O21+P21</f>
        <v>0.07834081019639805</v>
      </c>
      <c r="X21" s="3">
        <f>H21*W21+G21*M21</f>
        <v>0.0636053561819432</v>
      </c>
    </row>
    <row r="22" spans="1:24" x14ac:dyDescent="0.25">
      <c r="A22" t="str">
        <f>Datos!A22</f>
        <v>Enaex</v>
      </c>
      <c r="B22">
        <f>Datos!B22</f>
        <v>2022</v>
      </c>
      <c r="C22" s="7">
        <f>(Datos!C22*Datos!D22+Datos!E22*Datos!F22)/Datos!G22/1000</f>
        <v>1350236.646461356</v>
      </c>
      <c r="D22" s="7">
        <f>Datos!J22-Datos!K22</f>
        <v>43825</v>
      </c>
      <c r="E22" s="7">
        <f>C22+D22</f>
        <v>1394061.646461356</v>
      </c>
      <c r="F22" s="7">
        <f>Datos!H22</f>
        <v>551211</v>
      </c>
      <c r="G22" s="3">
        <f>F22/(E22+F22)</f>
        <v>0.28335925095266595</v>
      </c>
      <c r="H22" s="3">
        <f>E22/(E22+F22)</f>
        <v>0.7166407490473341</v>
      </c>
      <c r="I22" s="6">
        <f>F22/E22</f>
        <v>0.39539930059705564</v>
      </c>
      <c r="J22" s="7">
        <f>(F22+F21)/2</f>
        <v>489458</v>
      </c>
      <c r="K22" s="3">
        <f>Datos!I22/J22</f>
        <v>0.035706843079487925</v>
      </c>
      <c r="L22" s="3">
        <f>Supuestos!$J$2</f>
        <v>0.27</v>
      </c>
      <c r="M22" s="3">
        <f>K22*(1-L22)</f>
        <v>0.026065995448026184</v>
      </c>
      <c r="N22" s="3">
        <f>INDEX(Supuestos!$B$2:$B$7,MATCH(B22,Supuestos!$A$2:$A$7,0))</f>
        <v>0.0388</v>
      </c>
      <c r="O22" s="3">
        <f>INDEX(Supuestos!$C$2:$C$7,MATCH(B22,Supuestos!$A$2:$A$7,0))</f>
        <v>0.0594</v>
      </c>
      <c r="P22" s="3">
        <f>INDEX(Supuestos!$D$2:$D$7,MATCH(B22,Supuestos!$A$2:$A$7,0))</f>
        <v>0.014606</v>
      </c>
      <c r="Q22" s="6">
        <f>INDEX(Betas!$B$2:$G$7,MATCH(Datos!L22,Betas!$A$2:$A$7,0),MATCH(B22,Betas!$B$1:$G$1,0))</f>
        <v>0.9065</v>
      </c>
      <c r="R22" s="6">
        <f>Q22*(1+(1-L22)*I22)</f>
        <v>1.1681535101735987</v>
      </c>
      <c r="S22" s="9">
        <f>N22+R22*O22+P22</f>
        <v>0.12279431850431176</v>
      </c>
      <c r="T22" s="9">
        <f>H22*S22+G22*M22</f>
        <v>0.09538545333717519</v>
      </c>
      <c r="U22" s="6">
        <f>INDEX(Betas!$B$2:$G$7,MATCH(Datos!M22,Betas!$A$2:$A$7,0),MATCH(B22,Betas!$B$1:$G$1,0))</f>
        <v>0.9395</v>
      </c>
      <c r="V22" s="6">
        <f>U22*(1+(1-L22)*I22)</f>
        <v>1.2106786793249817</v>
      </c>
      <c r="W22" s="3">
        <f>N22+V22*O22+P22</f>
        <v>0.12532031355190393</v>
      </c>
      <c r="X22" s="3">
        <f>H22*W22+G22*M22</f>
        <v>0.0971956843201715</v>
      </c>
    </row>
    <row r="23" spans="1:24" x14ac:dyDescent="0.25">
      <c r="A23" t="str">
        <f>Datos!A23</f>
        <v>Enaex</v>
      </c>
      <c r="B23">
        <f>Datos!B23</f>
        <v>2023</v>
      </c>
      <c r="C23" s="7">
        <f>(Datos!C23*Datos!D23+Datos!E23*Datos!F23)/Datos!G23/1000</f>
        <v>1657167.7274217433</v>
      </c>
      <c r="D23" s="7">
        <f>Datos!J23-Datos!K23</f>
        <v>50840</v>
      </c>
      <c r="E23" s="7">
        <f>C23+D23</f>
        <v>1708007.7274217433</v>
      </c>
      <c r="F23" s="7">
        <f>Datos!H23</f>
        <v>610128</v>
      </c>
      <c r="G23" s="3">
        <f>F23/(E23+F23)</f>
        <v>0.26319770356095207</v>
      </c>
      <c r="H23" s="3">
        <f>E23/(E23+F23)</f>
        <v>0.7368022964390479</v>
      </c>
      <c r="I23" s="6">
        <f>F23/E23</f>
        <v>0.35721618245896053</v>
      </c>
      <c r="J23" s="7">
        <f>(F23+F22)/2</f>
        <v>580669.5</v>
      </c>
      <c r="K23" s="3">
        <f>Datos!I23/J23</f>
        <v>0.05128390590516636</v>
      </c>
      <c r="L23" s="3">
        <f>Supuestos!$J$2</f>
        <v>0.27</v>
      </c>
      <c r="M23" s="3">
        <f>K23*(1-L23)</f>
        <v>0.03743725131077144</v>
      </c>
      <c r="N23" s="3">
        <f>INDEX(Supuestos!$B$2:$B$7,MATCH(B23,Supuestos!$A$2:$A$7,0))</f>
        <v>0.0388</v>
      </c>
      <c r="O23" s="3">
        <f>INDEX(Supuestos!$C$2:$C$7,MATCH(B23,Supuestos!$A$2:$A$7,0))</f>
        <v>0.046</v>
      </c>
      <c r="P23" s="3">
        <f>INDEX(Supuestos!$D$2:$D$7,MATCH(B23,Supuestos!$A$2:$A$7,0))</f>
        <v>0.012376</v>
      </c>
      <c r="Q23" s="6">
        <f>INDEX(Betas!$B$2:$G$7,MATCH(Datos!L23,Betas!$A$2:$A$7,0),MATCH(B23,Betas!$B$1:$G$1,0))</f>
        <v>0.8282</v>
      </c>
      <c r="R23" s="6">
        <f>Q23*(1+(1-L23)*I23)</f>
        <v>1.0441679028881332</v>
      </c>
      <c r="S23" s="9">
        <f>N23+R23*O23+P23</f>
        <v>0.09920772353285412</v>
      </c>
      <c r="T23" s="9">
        <f>H23*S23+G23*M23</f>
        <v>0.08294987709612639</v>
      </c>
      <c r="U23" s="6">
        <f>INDEX(Betas!$B$2:$G$7,MATCH(Datos!M23,Betas!$A$2:$A$7,0),MATCH(B23,Betas!$B$1:$G$1,0))</f>
        <v>0.8626</v>
      </c>
      <c r="V23" s="6">
        <f>U23*(1+(1-L23)*I23)</f>
        <v>1.0875383156620426</v>
      </c>
      <c r="W23" s="3">
        <f>N23+V23*O23+P23</f>
        <v>0.10120276252045396</v>
      </c>
      <c r="X23" s="3">
        <f>H23*W23+G23*M23</f>
        <v>0.08441982640367537</v>
      </c>
    </row>
    <row r="24" spans="1:24" x14ac:dyDescent="0.25">
      <c r="A24" t="str">
        <f>Datos!A24</f>
        <v>Enaex</v>
      </c>
      <c r="B24">
        <f>Datos!B24</f>
        <v>2024</v>
      </c>
      <c r="C24" s="7">
        <f>(Datos!C24*Datos!D24+Datos!E24*Datos!F24)/Datos!G24/1000</f>
        <v>1826304.2777083418</v>
      </c>
      <c r="D24" s="7">
        <f>Datos!J24-Datos!K24</f>
        <v>59677</v>
      </c>
      <c r="E24" s="7">
        <f>C24+D24</f>
        <v>1885981.2777083418</v>
      </c>
      <c r="F24" s="7">
        <f>Datos!H24</f>
        <v>522463</v>
      </c>
      <c r="G24" s="3">
        <f>F24/(E24+F24)</f>
        <v>0.21692966070908173</v>
      </c>
      <c r="H24" s="3">
        <f>E24/(E24+F24)</f>
        <v>0.7830703392909183</v>
      </c>
      <c r="I24" s="6">
        <f>F24/E24</f>
        <v>0.2770244891480818</v>
      </c>
      <c r="J24" s="7">
        <f>(F24+F23)/2</f>
        <v>566295.5</v>
      </c>
      <c r="K24" s="3">
        <f>Datos!I24/J24</f>
        <v>0.05591603676878944</v>
      </c>
      <c r="L24" s="3">
        <f>Supuestos!$J$2</f>
        <v>0.27</v>
      </c>
      <c r="M24" s="3">
        <f>K24*(1-L24)</f>
        <v>0.04081870684121629</v>
      </c>
      <c r="N24" s="3">
        <f>INDEX(Supuestos!$B$2:$B$7,MATCH(B24,Supuestos!$A$2:$A$7,0))</f>
        <v>0.0458</v>
      </c>
      <c r="O24" s="3">
        <f>INDEX(Supuestos!$C$2:$C$7,MATCH(B24,Supuestos!$A$2:$A$7,0))</f>
        <v>0.0433</v>
      </c>
      <c r="P24" s="3">
        <f>INDEX(Supuestos!$D$2:$D$7,MATCH(B24,Supuestos!$A$2:$A$7,0))</f>
        <v>0.011294</v>
      </c>
      <c r="Q24" s="6">
        <f>INDEX(Betas!$B$2:$G$7,MATCH(Datos!L24,Betas!$A$2:$A$7,0),MATCH(B24,Betas!$B$1:$G$1,0))</f>
        <v>0.8458</v>
      </c>
      <c r="R24" s="6">
        <f>Q24*(1+(1-L24)*I24)</f>
        <v>1.0168443384326566</v>
      </c>
      <c r="S24" s="9">
        <f>N24+R24*O24+P24</f>
        <v>0.10112335985413404</v>
      </c>
      <c r="T24" s="9">
        <f>H24*S24+G24*M24</f>
        <v>0.08804149193686289</v>
      </c>
      <c r="U24" s="6">
        <f>INDEX(Betas!$B$2:$G$7,MATCH(Datos!M24,Betas!$A$2:$A$7,0),MATCH(B24,Betas!$B$1:$G$1,0))</f>
        <v>0.8835</v>
      </c>
      <c r="V24" s="6">
        <f>U24*(1+(1-L24)*I24)</f>
        <v>1.062168329398501</v>
      </c>
      <c r="W24" s="3">
        <f>N24+V24*O24+P24</f>
        <v>0.1030858886629551</v>
      </c>
      <c r="X24" s="3">
        <f>H24*W24+G24*M24</f>
        <v>0.08957829003705459</v>
      </c>
    </row>
    <row r="25" spans="1:24" x14ac:dyDescent="0.25">
      <c r="A25" t="str">
        <f>Datos!A25</f>
        <v>Enaex</v>
      </c>
      <c r="B25">
        <f>Datos!B25</f>
        <v>2025</v>
      </c>
      <c r="C25" s="7">
        <f>(Datos!C25*Datos!D25+Datos!E25*Datos!F25)/Datos!G25/1000</f>
        <v>3172125.1563906143</v>
      </c>
      <c r="D25" s="7">
        <f>Datos!J25-Datos!K25</f>
        <v>78352</v>
      </c>
      <c r="E25" s="7">
        <f>C25+D25</f>
        <v>3250477.1563906143</v>
      </c>
      <c r="F25" s="7">
        <f>Datos!H25</f>
        <v>618741</v>
      </c>
      <c r="G25" s="3">
        <f>F25/(E25+F25)</f>
        <v>0.15991370219796297</v>
      </c>
      <c r="H25" s="3">
        <f>E25/(E25+F25)</f>
        <v>0.840086297802037</v>
      </c>
      <c r="I25" s="6">
        <f>F25/E25</f>
        <v>0.19035389889866527</v>
      </c>
      <c r="J25" s="7">
        <f>(F25+F24)/2</f>
        <v>570602</v>
      </c>
      <c r="K25" s="3">
        <f>Datos!I25/J25</f>
        <v>0.05578494291993368</v>
      </c>
      <c r="L25" s="3">
        <f>Supuestos!$J$2</f>
        <v>0.27</v>
      </c>
      <c r="M25" s="3">
        <f>K25*(1-L25)</f>
        <v>0.04072300833155159</v>
      </c>
      <c r="N25" s="3">
        <f>INDEX(Supuestos!$B$2:$B$7,MATCH(B25,Supuestos!$A$2:$A$7,0))</f>
        <v>0.0418</v>
      </c>
      <c r="O25" s="3">
        <f>INDEX(Supuestos!$C$2:$C$7,MATCH(B25,Supuestos!$A$2:$A$7,0))</f>
        <v>0.0423</v>
      </c>
      <c r="P25" s="3">
        <f>INDEX(Supuestos!$D$2:$D$7,MATCH(B25,Supuestos!$A$2:$A$7,0))</f>
        <v>0.010955</v>
      </c>
      <c r="Q25" s="6">
        <f>INDEX(Betas!$B$2:$G$7,MATCH(Datos!L25,Betas!$A$2:$A$7,0),MATCH(B25,Betas!$B$1:$G$1,0))</f>
        <v>0.969</v>
      </c>
      <c r="R25" s="6">
        <f>Q25*(1+(1-L25)*I25)</f>
        <v>1.103650637463949</v>
      </c>
      <c r="S25" s="9">
        <f>N25+R25*O25+P25</f>
        <v>0.09943942196472502</v>
      </c>
      <c r="T25" s="9">
        <f>H25*S25+G25*M25</f>
        <v>0.09004986288085731</v>
      </c>
      <c r="U25" s="6">
        <f>INDEX(Betas!$B$2:$G$7,MATCH(Datos!M25,Betas!$A$2:$A$7,0),MATCH(B25,Betas!$B$1:$G$1,0))</f>
        <v>1.0271</v>
      </c>
      <c r="V25" s="6">
        <f>U25*(1+(1-L25)*I25)</f>
        <v>1.169824117377938</v>
      </c>
      <c r="W25" s="3">
        <f>N25+V25*O25+P25</f>
        <v>0.10223856016508676</v>
      </c>
      <c r="X25" s="3">
        <f>H25*W25+G25*M25</f>
        <v>0.09240138052863546</v>
      </c>
    </row>
    <row r="26" spans="1:24" x14ac:dyDescent="0.25">
      <c r="A26" t="str">
        <f>Datos!A26</f>
        <v>Minera Valparaíso</v>
      </c>
      <c r="B26">
        <f>Datos!B26</f>
        <v>2020</v>
      </c>
      <c r="C26" s="7">
        <f>(Datos!C26*Datos!D26+Datos!E26*Datos!F26)/Datos!G26/1000</f>
        <v>2459085.54074574</v>
      </c>
      <c r="D26" s="7">
        <f>Datos!J26-Datos!K26</f>
        <v>2323731</v>
      </c>
      <c r="E26" s="7">
        <f>C26+D26</f>
        <v>4782816.54074574</v>
      </c>
      <c r="F26" s="7">
        <f>Datos!H26</f>
        <v>1661516</v>
      </c>
      <c r="G26" s="3">
        <f>F26/(E26+F26)</f>
        <v>0.2578259252598608</v>
      </c>
      <c r="H26" s="3">
        <f>E26/(E26+F26)</f>
        <v>0.7421740747401392</v>
      </c>
      <c r="I26" s="6">
        <f>F26/E26</f>
        <v>0.34739279373256815</v>
      </c>
      <c r="J26" s="7">
        <f>F26</f>
        <v>1661516</v>
      </c>
      <c r="K26" s="3">
        <f>Datos!I26/J26</f>
        <v>0.05894135235531888</v>
      </c>
      <c r="L26" s="3">
        <f>Supuestos!$J$2</f>
        <v>0.27</v>
      </c>
      <c r="M26" s="3">
        <f>K26*(1-L26)</f>
        <v>0.043027187219382784</v>
      </c>
      <c r="N26" s="3">
        <f>INDEX(Supuestos!$B$2:$B$7,MATCH(B26,Supuestos!$A$2:$A$7,0))</f>
        <v>0.0093</v>
      </c>
      <c r="O26" s="3">
        <f>INDEX(Supuestos!$C$2:$C$7,MATCH(B26,Supuestos!$A$2:$A$7,0))</f>
        <v>0.0472</v>
      </c>
      <c r="P26" s="3">
        <f>INDEX(Supuestos!$D$2:$D$7,MATCH(B26,Supuestos!$A$2:$A$7,0))</f>
        <v>0.006815</v>
      </c>
      <c r="Q26" s="6">
        <f>INDEX(Betas!$B$2:$G$7,MATCH(Datos!L26,Betas!$A$2:$A$7,0),MATCH(B26,Betas!$B$1:$G$1,0))</f>
        <v>0.487</v>
      </c>
      <c r="R26" s="6">
        <f>Q26*(1+(1-L26)*I26)</f>
        <v>0.6105016120998652</v>
      </c>
      <c r="S26" s="9">
        <f>N26+R26*O26+P26</f>
        <v>0.04493067609111363</v>
      </c>
      <c r="T26" s="9">
        <f>H26*S26+G26*M26</f>
        <v>0.04443990731153778</v>
      </c>
      <c r="U26" s="6">
        <f>INDEX(Betas!$B$2:$G$7,MATCH(Datos!M26,Betas!$A$2:$A$7,0),MATCH(B26,Betas!$B$1:$G$1,0))</f>
        <v>0.1883</v>
      </c>
      <c r="V26" s="6">
        <f>U26*(1+(1-L26)*I26)</f>
        <v>0.23605226603368507</v>
      </c>
      <c r="W26" s="3">
        <f>N26+V26*O26+P26</f>
        <v>0.027256666956789938</v>
      </c>
      <c r="X26" s="3">
        <f>H26*W26+G26*M26</f>
        <v>0.03132271593532232</v>
      </c>
    </row>
    <row r="27" spans="1:24" x14ac:dyDescent="0.25">
      <c r="A27" t="str">
        <f>Datos!A27</f>
        <v>Minera Valparaíso</v>
      </c>
      <c r="B27">
        <f>Datos!B27</f>
        <v>2021</v>
      </c>
      <c r="C27" s="7">
        <f>(Datos!C27*Datos!D27+Datos!E27*Datos!F27)/Datos!G27/1000</f>
        <v>1914289.9147309617</v>
      </c>
      <c r="D27" s="7">
        <f>Datos!J27-Datos!K27</f>
        <v>1893723</v>
      </c>
      <c r="E27" s="7">
        <f>C27+D27</f>
        <v>3808012.9147309614</v>
      </c>
      <c r="F27" s="7">
        <f>Datos!H27</f>
        <v>2408200</v>
      </c>
      <c r="G27" s="3">
        <f>F27/(E27+F27)</f>
        <v>0.3874062927112958</v>
      </c>
      <c r="H27" s="3">
        <f>E27/(E27+F27)</f>
        <v>0.6125937072887042</v>
      </c>
      <c r="I27" s="6">
        <f>F27/E27</f>
        <v>0.6324033174058027</v>
      </c>
      <c r="J27" s="7">
        <f>(F27+F26)/2</f>
        <v>2034858</v>
      </c>
      <c r="K27" s="3">
        <f>Datos!I27/J27</f>
        <v>0.047467194271049874</v>
      </c>
      <c r="L27" s="3">
        <f>Supuestos!$J$2</f>
        <v>0.27</v>
      </c>
      <c r="M27" s="3">
        <f>K27*(1-L27)</f>
        <v>0.03465105181786641</v>
      </c>
      <c r="N27" s="3">
        <f>INDEX(Supuestos!$B$2:$B$7,MATCH(B27,Supuestos!$A$2:$A$7,0))</f>
        <v>0.0151</v>
      </c>
      <c r="O27" s="3">
        <f>INDEX(Supuestos!$C$2:$C$7,MATCH(B27,Supuestos!$A$2:$A$7,0))</f>
        <v>0.0424</v>
      </c>
      <c r="P27" s="3">
        <f>INDEX(Supuestos!$D$2:$D$7,MATCH(B27,Supuestos!$A$2:$A$7,0))</f>
        <v>0.006959</v>
      </c>
      <c r="Q27" s="6">
        <f>INDEX(Betas!$B$2:$G$7,MATCH(Datos!L27,Betas!$A$2:$A$7,0),MATCH(B27,Betas!$B$1:$G$1,0))</f>
        <v>0.5177</v>
      </c>
      <c r="R27" s="6">
        <f>Q27*(1+(1-L27)*I27)</f>
        <v>0.7566984941173184</v>
      </c>
      <c r="S27" s="9">
        <f>N27+R27*O27+P27</f>
        <v>0.0541430161505743</v>
      </c>
      <c r="T27" s="9">
        <f>H27*S27+G27*M27</f>
        <v>0.046591706510779124</v>
      </c>
      <c r="U27" s="6">
        <f>INDEX(Betas!$B$2:$G$7,MATCH(Datos!M27,Betas!$A$2:$A$7,0),MATCH(B27,Betas!$B$1:$G$1,0))</f>
        <v>0.3532</v>
      </c>
      <c r="V27" s="6">
        <f>U27*(1+(1-L27)*I27)</f>
        <v>0.5162563417466426</v>
      </c>
      <c r="W27" s="3">
        <f>N27+V27*O27+P27</f>
        <v>0.043948268890057644</v>
      </c>
      <c r="X27" s="3">
        <f>H27*W27+G27*M27</f>
        <v>0.04034646849158787</v>
      </c>
    </row>
    <row r="28" spans="1:24" x14ac:dyDescent="0.25">
      <c r="A28" t="str">
        <f>Datos!A28</f>
        <v>Minera Valparaíso</v>
      </c>
      <c r="B28">
        <f>Datos!B28</f>
        <v>2022</v>
      </c>
      <c r="C28" s="7">
        <f>(Datos!C28*Datos!D28+Datos!E28*Datos!F28)/Datos!G28/1000</f>
        <v>1502309.4553873718</v>
      </c>
      <c r="D28" s="7">
        <f>Datos!J28-Datos!K28</f>
        <v>1983123</v>
      </c>
      <c r="E28" s="7">
        <f>C28+D28</f>
        <v>3485432.4553873716</v>
      </c>
      <c r="F28" s="7">
        <f>Datos!H28</f>
        <v>2323016</v>
      </c>
      <c r="G28" s="3">
        <f>F28/(E28+F28)</f>
        <v>0.3999374390325162</v>
      </c>
      <c r="H28" s="3">
        <f>E28/(E28+F28)</f>
        <v>0.6000625609674838</v>
      </c>
      <c r="I28" s="6">
        <f>F28/E28</f>
        <v>0.666492904319335</v>
      </c>
      <c r="J28" s="7">
        <f>(F28+F27)/2</f>
        <v>2365608</v>
      </c>
      <c r="K28" s="3">
        <f>Datos!I28/J28</f>
        <v>0.04680572605435896</v>
      </c>
      <c r="L28" s="3">
        <f>Supuestos!$J$2</f>
        <v>0.27</v>
      </c>
      <c r="M28" s="3">
        <f>K28*(1-L28)</f>
        <v>0.03416818001968204</v>
      </c>
      <c r="N28" s="3">
        <f>INDEX(Supuestos!$B$2:$B$7,MATCH(B28,Supuestos!$A$2:$A$7,0))</f>
        <v>0.0388</v>
      </c>
      <c r="O28" s="3">
        <f>INDEX(Supuestos!$C$2:$C$7,MATCH(B28,Supuestos!$A$2:$A$7,0))</f>
        <v>0.0594</v>
      </c>
      <c r="P28" s="3">
        <f>INDEX(Supuestos!$D$2:$D$7,MATCH(B28,Supuestos!$A$2:$A$7,0))</f>
        <v>0.014606</v>
      </c>
      <c r="Q28" s="6">
        <f>INDEX(Betas!$B$2:$G$7,MATCH(Datos!L28,Betas!$A$2:$A$7,0),MATCH(B28,Betas!$B$1:$G$1,0))</f>
        <v>0.416</v>
      </c>
      <c r="R28" s="6">
        <f>Q28*(1+(1-L28)*I28)</f>
        <v>0.6184005651836956</v>
      </c>
      <c r="S28" s="9">
        <f>N28+R28*O28+P28</f>
        <v>0.0901389935719115</v>
      </c>
      <c r="T28" s="9">
        <f>H28*S28+G28*M28</f>
        <v>0.0677541697392664</v>
      </c>
      <c r="U28" s="6">
        <f>INDEX(Betas!$B$2:$G$7,MATCH(Datos!M28,Betas!$A$2:$A$7,0),MATCH(B28,Betas!$B$1:$G$1,0))</f>
        <v>0.2756</v>
      </c>
      <c r="V28" s="6">
        <f>U28*(1+(1-L28)*I28)</f>
        <v>0.4096903744341983</v>
      </c>
      <c r="W28" s="3">
        <f>N28+V28*O28+P28</f>
        <v>0.07774160824139138</v>
      </c>
      <c r="X28" s="3">
        <f>H28*W28+G28*M28</f>
        <v>0.06031496294853378</v>
      </c>
    </row>
    <row r="29" spans="1:24" x14ac:dyDescent="0.25">
      <c r="A29" t="str">
        <f>Datos!A29</f>
        <v>Minera Valparaíso</v>
      </c>
      <c r="B29">
        <f>Datos!B29</f>
        <v>2023</v>
      </c>
      <c r="C29" s="7">
        <f>(Datos!C29*Datos!D29+Datos!E29*Datos!F29)/Datos!G29/1000</f>
        <v>1781051.1084231113</v>
      </c>
      <c r="D29" s="7">
        <f>Datos!J29-Datos!K29</f>
        <v>2066787</v>
      </c>
      <c r="E29" s="7">
        <f>C29+D29</f>
        <v>3847838.108423111</v>
      </c>
      <c r="F29" s="7">
        <f>Datos!H29</f>
        <v>2402157</v>
      </c>
      <c r="G29" s="3">
        <f>F29/(E29+F29)</f>
        <v>0.38434542080882844</v>
      </c>
      <c r="H29" s="3">
        <f>E29/(E29+F29)</f>
        <v>0.6156545791911715</v>
      </c>
      <c r="I29" s="6">
        <f>F29/E29</f>
        <v>0.6242874394173594</v>
      </c>
      <c r="J29" s="7">
        <f>(F29+F28)/2</f>
        <v>2362586.5</v>
      </c>
      <c r="K29" s="3">
        <f>Datos!I29/J29</f>
        <v>0.04873853295953397</v>
      </c>
      <c r="L29" s="3">
        <f>Supuestos!$J$2</f>
        <v>0.27</v>
      </c>
      <c r="M29" s="3">
        <f>K29*(1-L29)</f>
        <v>0.0355791290604598</v>
      </c>
      <c r="N29" s="3">
        <f>INDEX(Supuestos!$B$2:$B$7,MATCH(B29,Supuestos!$A$2:$A$7,0))</f>
        <v>0.0388</v>
      </c>
      <c r="O29" s="3">
        <f>INDEX(Supuestos!$C$2:$C$7,MATCH(B29,Supuestos!$A$2:$A$7,0))</f>
        <v>0.046</v>
      </c>
      <c r="P29" s="3">
        <f>INDEX(Supuestos!$D$2:$D$7,MATCH(B29,Supuestos!$A$2:$A$7,0))</f>
        <v>0.012376</v>
      </c>
      <c r="Q29" s="6">
        <f>INDEX(Betas!$B$2:$G$7,MATCH(Datos!L29,Betas!$A$2:$A$7,0),MATCH(B29,Betas!$B$1:$G$1,0))</f>
        <v>0.4218</v>
      </c>
      <c r="R29" s="6">
        <f>Q29*(1+(1-L29)*I29)</f>
        <v>0.6140268426207568</v>
      </c>
      <c r="S29" s="9">
        <f>N29+R29*O29+P29</f>
        <v>0.0794212347605548</v>
      </c>
      <c r="T29" s="9">
        <f>H29*S29+G29*M29</f>
        <v>0.06257072219610665</v>
      </c>
      <c r="U29" s="6">
        <f>INDEX(Betas!$B$2:$G$7,MATCH(Datos!M29,Betas!$A$2:$A$7,0),MATCH(B29,Betas!$B$1:$G$1,0))</f>
        <v>0.279</v>
      </c>
      <c r="V29" s="6">
        <f>U29*(1+(1-L29)*I29)</f>
        <v>0.4061486227861337</v>
      </c>
      <c r="W29" s="3">
        <f>N29+V29*O29+P29</f>
        <v>0.06985883664816216</v>
      </c>
      <c r="X29" s="3">
        <f>H29*W29+G29*M29</f>
        <v>0.0566835880101631</v>
      </c>
    </row>
    <row r="30" spans="1:24" x14ac:dyDescent="0.25">
      <c r="A30" t="str">
        <f>Datos!A30</f>
        <v>Minera Valparaíso</v>
      </c>
      <c r="B30">
        <f>Datos!B30</f>
        <v>2024</v>
      </c>
      <c r="C30" s="7">
        <f>(Datos!C30*Datos!D30+Datos!E30*Datos!F30)/Datos!G30/1000</f>
        <v>1752182.1957021328</v>
      </c>
      <c r="D30" s="7">
        <f>Datos!J30-Datos!K30</f>
        <v>2107801</v>
      </c>
      <c r="E30" s="7">
        <f>C30+D30</f>
        <v>3859983.195702133</v>
      </c>
      <c r="F30" s="7">
        <f>Datos!H30</f>
        <v>2347412</v>
      </c>
      <c r="G30" s="3">
        <f>F30/(E30+F30)</f>
        <v>0.3781637749800911</v>
      </c>
      <c r="H30" s="3">
        <f>E30/(E30+F30)</f>
        <v>0.6218362250199089</v>
      </c>
      <c r="I30" s="6">
        <f>F30/E30</f>
        <v>0.6081404713403175</v>
      </c>
      <c r="J30" s="7">
        <f>(F30+F29)/2</f>
        <v>2374784.5</v>
      </c>
      <c r="K30" s="3">
        <f>Datos!I30/J30</f>
        <v>0.03908523068093126</v>
      </c>
      <c r="L30" s="3">
        <f>Supuestos!$J$2</f>
        <v>0.27</v>
      </c>
      <c r="M30" s="3">
        <f>K30*(1-L30)</f>
        <v>0.02853221839707982</v>
      </c>
      <c r="N30" s="3">
        <f>INDEX(Supuestos!$B$2:$B$7,MATCH(B30,Supuestos!$A$2:$A$7,0))</f>
        <v>0.0458</v>
      </c>
      <c r="O30" s="3">
        <f>INDEX(Supuestos!$C$2:$C$7,MATCH(B30,Supuestos!$A$2:$A$7,0))</f>
        <v>0.0433</v>
      </c>
      <c r="P30" s="3">
        <f>INDEX(Supuestos!$D$2:$D$7,MATCH(B30,Supuestos!$A$2:$A$7,0))</f>
        <v>0.011294</v>
      </c>
      <c r="Q30" s="6">
        <f>INDEX(Betas!$B$2:$G$7,MATCH(Datos!L30,Betas!$A$2:$A$7,0),MATCH(B30,Betas!$B$1:$G$1,0))</f>
        <v>0.4047</v>
      </c>
      <c r="R30" s="6">
        <f>Q30*(1+(1-L30)*I30)</f>
        <v>0.5843635475885414</v>
      </c>
      <c r="S30" s="9">
        <f>N30+R30*O30+P30</f>
        <v>0.08239694161058383</v>
      </c>
      <c r="T30" s="9">
        <f>H30*S30+G30*M30</f>
        <v>0.06202725454190741</v>
      </c>
      <c r="U30" s="6">
        <f>INDEX(Betas!$B$2:$G$7,MATCH(Datos!M30,Betas!$A$2:$A$7,0),MATCH(B30,Betas!$B$1:$G$1,0))</f>
        <v>0.281</v>
      </c>
      <c r="V30" s="6">
        <f>U30*(1+(1-L30)*I30)</f>
        <v>0.40574785488603937</v>
      </c>
      <c r="W30" s="3">
        <f>N30+V30*O30+P30</f>
        <v>0.07466288211656551</v>
      </c>
      <c r="X30" s="3">
        <f>H30*W30+G30*M30</f>
        <v>0.057217936182067664</v>
      </c>
    </row>
    <row r="31" spans="1:24" x14ac:dyDescent="0.25">
      <c r="A31" t="str">
        <f>Datos!A31</f>
        <v>Minera Valparaíso</v>
      </c>
      <c r="B31">
        <f>Datos!B31</f>
        <v>2025</v>
      </c>
      <c r="C31" s="7">
        <f>(Datos!C31*Datos!D31+Datos!E31*Datos!F31)/Datos!G31/1000</f>
        <v>1960232.8848306593</v>
      </c>
      <c r="D31" s="7">
        <f>Datos!J31-Datos!K31</f>
        <v>2147872</v>
      </c>
      <c r="E31" s="7">
        <f>C31+D31</f>
        <v>4108104.8848306593</v>
      </c>
      <c r="F31" s="7">
        <f>Datos!H31</f>
        <v>2635839</v>
      </c>
      <c r="G31" s="3">
        <f>F31/(E31+F31)</f>
        <v>0.39084533397866283</v>
      </c>
      <c r="H31" s="3">
        <f>E31/(E31+F31)</f>
        <v>0.6091546660213372</v>
      </c>
      <c r="I31" s="6">
        <f>F31/E31</f>
        <v>0.6416192073705178</v>
      </c>
      <c r="J31" s="7">
        <f>(F31+F30)/2</f>
        <v>2491625.5</v>
      </c>
      <c r="K31" s="3">
        <f>Datos!I31/J31</f>
        <v>0.04180202843485106</v>
      </c>
      <c r="L31" s="3">
        <f>Supuestos!$J$2</f>
        <v>0.27</v>
      </c>
      <c r="M31" s="3">
        <f>K31*(1-L31)</f>
        <v>0.030515480757441274</v>
      </c>
      <c r="N31" s="3">
        <f>INDEX(Supuestos!$B$2:$B$7,MATCH(B31,Supuestos!$A$2:$A$7,0))</f>
        <v>0.0418</v>
      </c>
      <c r="O31" s="3">
        <f>INDEX(Supuestos!$C$2:$C$7,MATCH(B31,Supuestos!$A$2:$A$7,0))</f>
        <v>0.0423</v>
      </c>
      <c r="P31" s="3">
        <f>INDEX(Supuestos!$D$2:$D$7,MATCH(B31,Supuestos!$A$2:$A$7,0))</f>
        <v>0.010955</v>
      </c>
      <c r="Q31" s="6">
        <f>INDEX(Betas!$B$2:$G$7,MATCH(Datos!L31,Betas!$A$2:$A$7,0),MATCH(B31,Betas!$B$1:$G$1,0))</f>
        <v>0.4331</v>
      </c>
      <c r="R31" s="6">
        <f>Q31*(1+(1-L31)*I31)</f>
        <v>0.6359562534598849</v>
      </c>
      <c r="S31" s="9">
        <f>N31+R31*O31+P31</f>
        <v>0.07965594952135313</v>
      </c>
      <c r="T31" s="9">
        <f>H31*S31+G31*M31</f>
        <v>0.060449626595453956</v>
      </c>
      <c r="U31" s="6">
        <f>INDEX(Betas!$B$2:$G$7,MATCH(Datos!M31,Betas!$A$2:$A$7,0),MATCH(B31,Betas!$B$1:$G$1,0))</f>
        <v>0.3996</v>
      </c>
      <c r="V31" s="6">
        <f>U31*(1+(1-L31)*I31)</f>
        <v>0.586765455743639</v>
      </c>
      <c r="W31" s="3">
        <f>N31+V31*O31+P31</f>
        <v>0.07757517877795592</v>
      </c>
      <c r="X31" s="3">
        <f>H31*W31+G31*M31</f>
        <v>0.05918211538819285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Supuestos</vt:lpstr>
      <vt:lpstr>Betas</vt:lpstr>
      <vt:lpstr>Datos</vt:lpstr>
      <vt:lpstr>WACC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WACC tesina opciones reales</dc:creator>
  <dc:title/>
  <dc:subject/>
  <dc:description/>
  <cp:keywords/>
  <cp:category/>
  <cp:lastModifiedBy>Unknown</cp:lastModifiedBy>
  <dcterms:created xsi:type="dcterms:W3CDTF">2026-10-16T04:35:43Z</dcterms:created>
  <dcterms:modified xsi:type="dcterms:W3CDTF">2026-10-16T04:35:43Z</dcterms:modified>
</cp:coreProperties>
</file>