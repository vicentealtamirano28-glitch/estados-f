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ón" sheetId="1" state="visible" r:id="rId1"/>
    <sheet name="CMIG4 Mensual" sheetId="2" state="visible" r:id="rId2"/>
    <sheet name="CMIG4 Escenarios" sheetId="3" state="visible" r:id="rId3"/>
    <sheet name="CMIG4 Anual" sheetId="4" state="visible" r:id="rId4"/>
    <sheet name="OIBR4 Mensual" sheetId="5" state="visible" r:id="rId5"/>
    <sheet name="OIBR4 Escenarios" sheetId="6" state="visible" r:id="rId6"/>
    <sheet name="OIBR4 Anu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mmm.yyyy"/>
    <numFmt numFmtId="166" formatCode="0.0000"/>
    <numFmt numFmtId="167" formatCode="0.0000%"/>
    <numFmt numFmtId="168" formatCode="0.00000"/>
    <numFmt numFmtId="169" formatCode="0.00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8" fontId="0" fillId="0" borderId="0" pivotButton="0" quotePrefix="0" xfId="0"/>
    <xf numFmtId="166" fontId="0" fillId="0" borderId="0" pivotButton="0" quotePrefix="0" xfId="0"/>
    <xf numFmtId="169" fontId="0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Paseo aleatorio — retornos mensuales simulados de CMIG4 (5 escenarios)</a:t>
            </a:r>
          </a:p>
        </rich>
      </tx>
    </title>
    <plotArea>
      <lineChart>
        <grouping val="standard"/>
        <ser>
          <idx val="0"/>
          <order val="0"/>
          <tx>
            <strRef>
              <f>'CMIG4 Escenarios'!B4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'CMIG4 Escenarios'!$A$5:$A$40</f>
            </numRef>
          </cat>
          <val>
            <numRef>
              <f>'CMIG4 Escenarios'!$B$5:$B$40</f>
            </numRef>
          </val>
        </ser>
        <ser>
          <idx val="1"/>
          <order val="1"/>
          <tx>
            <strRef>
              <f>'CMIG4 Escenarios'!C4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'CMIG4 Escenarios'!$A$5:$A$40</f>
            </numRef>
          </cat>
          <val>
            <numRef>
              <f>'CMIG4 Escenarios'!$C$5:$C$40</f>
            </numRef>
          </val>
        </ser>
        <ser>
          <idx val="2"/>
          <order val="2"/>
          <tx>
            <strRef>
              <f>'CMIG4 Escenarios'!D4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'CMIG4 Escenarios'!$A$5:$A$40</f>
            </numRef>
          </cat>
          <val>
            <numRef>
              <f>'CMIG4 Escenarios'!$D$5:$D$40</f>
            </numRef>
          </val>
        </ser>
        <ser>
          <idx val="3"/>
          <order val="3"/>
          <tx>
            <strRef>
              <f>'CMIG4 Escenarios'!E4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'CMIG4 Escenarios'!$A$5:$A$40</f>
            </numRef>
          </cat>
          <val>
            <numRef>
              <f>'CMIG4 Escenarios'!$E$5:$E$40</f>
            </numRef>
          </val>
        </ser>
        <ser>
          <idx val="4"/>
          <order val="4"/>
          <tx>
            <strRef>
              <f>'CMIG4 Escenarios'!F4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'CMIG4 Escenarios'!$A$5:$A$40</f>
            </numRef>
          </cat>
          <val>
            <numRef>
              <f>'CMIG4 Escenarios'!$F$5:$F$40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Retorno mensual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Paseo aleatorio — retornos mensuales simulados de OIBR4 (5 escenarios)</a:t>
            </a:r>
          </a:p>
        </rich>
      </tx>
    </title>
    <plotArea>
      <lineChart>
        <grouping val="standard"/>
        <ser>
          <idx val="0"/>
          <order val="0"/>
          <tx>
            <strRef>
              <f>'OIBR4 Escenarios'!B4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'OIBR4 Escenarios'!$A$5:$A$40</f>
            </numRef>
          </cat>
          <val>
            <numRef>
              <f>'OIBR4 Escenarios'!$B$5:$B$40</f>
            </numRef>
          </val>
        </ser>
        <ser>
          <idx val="1"/>
          <order val="1"/>
          <tx>
            <strRef>
              <f>'OIBR4 Escenarios'!C4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'OIBR4 Escenarios'!$A$5:$A$40</f>
            </numRef>
          </cat>
          <val>
            <numRef>
              <f>'OIBR4 Escenarios'!$C$5:$C$40</f>
            </numRef>
          </val>
        </ser>
        <ser>
          <idx val="2"/>
          <order val="2"/>
          <tx>
            <strRef>
              <f>'OIBR4 Escenarios'!D4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'OIBR4 Escenarios'!$A$5:$A$40</f>
            </numRef>
          </cat>
          <val>
            <numRef>
              <f>'OIBR4 Escenarios'!$D$5:$D$40</f>
            </numRef>
          </val>
        </ser>
        <ser>
          <idx val="3"/>
          <order val="3"/>
          <tx>
            <strRef>
              <f>'OIBR4 Escenarios'!E4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'OIBR4 Escenarios'!$A$5:$A$40</f>
            </numRef>
          </cat>
          <val>
            <numRef>
              <f>'OIBR4 Escenarios'!$E$5:$E$40</f>
            </numRef>
          </val>
        </ser>
        <ser>
          <idx val="4"/>
          <order val="4"/>
          <tx>
            <strRef>
              <f>'OIBR4 Escenarios'!F4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'OIBR4 Escenarios'!$A$5:$A$40</f>
            </numRef>
          </cat>
          <val>
            <numRef>
              <f>'OIBR4 Escenarios'!$F$5:$F$40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Retorno mensual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1" t="inlineStr">
        <is>
          <t>Riesgo y retorno: CMIG4 vs OIBR4</t>
        </is>
      </c>
    </row>
    <row r="3">
      <c r="B3" s="2" t="inlineStr">
        <is>
          <t>CMIG4</t>
        </is>
      </c>
      <c r="C3" s="2" t="inlineStr">
        <is>
          <t>OIBR4</t>
        </is>
      </c>
      <c r="E3" s="3" t="inlineStr">
        <is>
          <t>CMIG4 tuvo más retorno y menos riesgo que OIBR4 en los dos horizontes: 1,17% contra −0,38% de retorno mensual, con desviaciones de 12,56% y 21,56%. En el plano riesgo-retorno, CMIG4 domina a OIBR4, así que un inversionista con aversión al riesgo preferiría CMIG4. La correlación mensual es 0,46: se mueven parcialmente juntas (ambas cayeron fuerte en 2015 y en marzo de 2020), por lo que combinarlas diversificaría solo en parte. Como referencia, el IPSA tuvo 0,50% de retorno y 4,78% de desviación mensual (2010-2025): las dos acciones son entre 2,6 y 4,5 veces más riesgosas, aunque el período y la moneda (reales) son distintos.</t>
        </is>
      </c>
    </row>
    <row r="4">
      <c r="A4" t="inlineStr">
        <is>
          <t>Retorno esperado mensual (simple)</t>
        </is>
      </c>
      <c r="B4" s="4">
        <f>'CMIG4 Mensual'!H3</f>
        <v/>
      </c>
      <c r="C4" s="4">
        <f>'OIBR4 Mensual'!H3</f>
        <v/>
      </c>
    </row>
    <row r="5">
      <c r="A5" t="inlineStr">
        <is>
          <t>SD mensual (simple)</t>
        </is>
      </c>
      <c r="B5" s="4">
        <f>'CMIG4 Mensual'!H5</f>
        <v/>
      </c>
      <c r="C5" s="4">
        <f>'OIBR4 Mensual'!H5</f>
        <v/>
      </c>
    </row>
    <row r="6">
      <c r="A6" t="inlineStr">
        <is>
          <t>Retorno esperado mensual (ln)</t>
        </is>
      </c>
      <c r="B6" s="4">
        <f>'CMIG4 Mensual'!I3</f>
        <v/>
      </c>
      <c r="C6" s="4">
        <f>'OIBR4 Mensual'!I3</f>
        <v/>
      </c>
    </row>
    <row r="7">
      <c r="A7" t="inlineStr">
        <is>
          <t>SD mensual (ln)</t>
        </is>
      </c>
      <c r="B7" s="4">
        <f>'CMIG4 Mensual'!I5</f>
        <v/>
      </c>
      <c r="C7" s="4">
        <f>'OIBR4 Mensual'!I5</f>
        <v/>
      </c>
    </row>
    <row r="8">
      <c r="A8" t="inlineStr">
        <is>
          <t>Retorno esperado anual (simple)</t>
        </is>
      </c>
      <c r="B8" s="4">
        <f>'CMIG4 Anual'!C13</f>
        <v/>
      </c>
      <c r="C8" s="4">
        <f>'OIBR4 Anual'!C13</f>
        <v/>
      </c>
    </row>
    <row r="9">
      <c r="A9" t="inlineStr">
        <is>
          <t>SD anual (simple)</t>
        </is>
      </c>
      <c r="B9" s="4">
        <f>'CMIG4 Anual'!C15</f>
        <v/>
      </c>
      <c r="C9" s="4">
        <f>'OIBR4 Anual'!C15</f>
        <v/>
      </c>
    </row>
    <row r="10">
      <c r="A10" t="inlineStr">
        <is>
          <t>Retorno esperado anual (ln)</t>
        </is>
      </c>
      <c r="B10" s="4">
        <f>'CMIG4 Anual'!D13</f>
        <v/>
      </c>
      <c r="C10" s="4">
        <f>'OIBR4 Anual'!D13</f>
        <v/>
      </c>
    </row>
    <row r="11">
      <c r="A11" t="inlineStr">
        <is>
          <t>SD anual (ln)</t>
        </is>
      </c>
      <c r="B11" s="4">
        <f>'CMIG4 Anual'!D15</f>
        <v/>
      </c>
      <c r="C11" s="4">
        <f>'OIBR4 Anual'!D15</f>
        <v/>
      </c>
    </row>
    <row r="12">
      <c r="A12" t="inlineStr">
        <is>
          <t>Correlación de retornos mensuales</t>
        </is>
      </c>
      <c r="B12" s="5">
        <f>CORREL('CMIG4 Mensual'!C5:C100,'OIBR4 Mensual'!C5:C100)</f>
        <v/>
      </c>
    </row>
    <row r="13"/>
    <row r="14"/>
    <row r="15"/>
    <row r="16"/>
  </sheetData>
  <mergeCells count="1">
    <mergeCell ref="E3:M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1" customWidth="1" min="4" max="4"/>
    <col width="12" customWidth="1" min="5" max="5"/>
    <col width="3" customWidth="1" min="6" max="6"/>
    <col width="24" customWidth="1" min="7" max="7"/>
    <col width="15" customWidth="1" min="8" max="8"/>
    <col width="16" customWidth="1" min="9" max="9"/>
  </cols>
  <sheetData>
    <row r="1">
      <c r="A1" s="1" t="inlineStr">
        <is>
          <t>Indicadores bursátiles — CMIG4</t>
        </is>
      </c>
    </row>
    <row r="2">
      <c r="H2" s="2" t="inlineStr">
        <is>
          <t>Simple</t>
        </is>
      </c>
      <c r="I2" s="2" t="inlineStr">
        <is>
          <t>LN</t>
        </is>
      </c>
    </row>
    <row r="3">
      <c r="A3" s="2" t="inlineStr">
        <is>
          <t>Periodo</t>
        </is>
      </c>
      <c r="B3" s="2" t="inlineStr">
        <is>
          <t>Precio CMIG4 (BRL)</t>
        </is>
      </c>
      <c r="C3" s="2" t="inlineStr">
        <is>
          <t>Retorno simple</t>
        </is>
      </c>
      <c r="D3" s="2" t="inlineStr">
        <is>
          <t>Retorno +1</t>
        </is>
      </c>
      <c r="E3" s="2" t="inlineStr">
        <is>
          <t>Retorno LN</t>
        </is>
      </c>
      <c r="G3" t="inlineStr">
        <is>
          <t>Retorno promedio mensual</t>
        </is>
      </c>
      <c r="H3" s="6">
        <f>AVERAGE(C5:C100)</f>
        <v/>
      </c>
      <c r="I3" s="6">
        <f>AVERAGE(E5:E100)</f>
        <v/>
      </c>
      <c r="K3" s="3" t="inlineStr">
        <is>
          <t>Resultados mensuales (feb-2015 a ene-2023, 96 meses; precios en reales). El retorno esperado mensual de CMIG4 (Cemig) es 1,17% en base simple y 0,42% en base ln. El riesgo mensual, medido con la desviación estándar, es 12,56% en base simple (varianza 0,01576) y 12,22% en base ln (varianza 0,01493). Un mes típico se aleja unos 12,6 puntos del promedio, por lo que la mayoría de los meses queda entre −11,4% y +13,7%. A diferencia del IPSA, las dos bases se separan (1,17% contra 0,42%): con retornos tan volátiles, la media simple supera a la ln en cerca de la mitad de la varianza.
Paseo aleatorio: se proyectan 36 meses desde ene-2023 (R$ 11,46), sorteando cada retorno con una Normal de media 1,17% y desviación estándar 12,56%. Es una trayectoria posible entre muchas, no un pronóstico.</t>
        </is>
      </c>
    </row>
    <row r="4">
      <c r="A4" s="7" t="n">
        <v>42005</v>
      </c>
      <c r="B4" s="8" t="n">
        <v>7.65052</v>
      </c>
      <c r="G4" t="inlineStr">
        <is>
          <t>Var</t>
        </is>
      </c>
      <c r="H4" s="9">
        <f>_xlfn.VAR.S(C5:C100)</f>
        <v/>
      </c>
      <c r="I4" s="9">
        <f>_xlfn.VAR.S(E5:E100)</f>
        <v/>
      </c>
    </row>
    <row r="5">
      <c r="A5" s="7" t="n">
        <v>42036</v>
      </c>
      <c r="B5" s="8" t="n">
        <v>8.337847</v>
      </c>
      <c r="C5" s="4">
        <f>(B5-B4)/B4</f>
        <v/>
      </c>
      <c r="D5" s="10">
        <f>C5+1</f>
        <v/>
      </c>
      <c r="E5" s="4">
        <f>LN(B5/B4)</f>
        <v/>
      </c>
      <c r="G5" t="inlineStr">
        <is>
          <t>SD</t>
        </is>
      </c>
      <c r="H5" s="11">
        <f>SQRT(H4)</f>
        <v/>
      </c>
      <c r="I5" s="11">
        <f>SQRT(I4)</f>
        <v/>
      </c>
    </row>
    <row r="6">
      <c r="A6" s="7" t="n">
        <v>42064</v>
      </c>
      <c r="B6" s="8" t="n">
        <v>8.235068999999999</v>
      </c>
      <c r="C6" s="4">
        <f>(B6-B5)/B5</f>
        <v/>
      </c>
      <c r="D6" s="10">
        <f>C6+1</f>
        <v/>
      </c>
      <c r="E6" s="4">
        <f>LN(B6/B5)</f>
        <v/>
      </c>
    </row>
    <row r="7">
      <c r="A7" s="7" t="n">
        <v>42095</v>
      </c>
      <c r="B7" s="8" t="n">
        <v>9.346354</v>
      </c>
      <c r="C7" s="4">
        <f>(B7-B6)/B6</f>
        <v/>
      </c>
      <c r="D7" s="10">
        <f>C7+1</f>
        <v/>
      </c>
      <c r="E7" s="4">
        <f>LN(B7/B6)</f>
        <v/>
      </c>
    </row>
    <row r="8">
      <c r="A8" s="7" t="n">
        <v>42125</v>
      </c>
      <c r="B8" s="8" t="n">
        <v>9.10868</v>
      </c>
      <c r="C8" s="4">
        <f>(B8-B7)/B7</f>
        <v/>
      </c>
      <c r="D8" s="10">
        <f>C8+1</f>
        <v/>
      </c>
      <c r="E8" s="4">
        <f>LN(B8/B7)</f>
        <v/>
      </c>
      <c r="G8" s="2" t="inlineStr">
        <is>
          <t>Paseo aleatorio</t>
        </is>
      </c>
    </row>
    <row r="9">
      <c r="A9" s="7" t="n">
        <v>42156</v>
      </c>
      <c r="B9" s="8" t="n">
        <v>7.618402</v>
      </c>
      <c r="C9" s="4">
        <f>(B9-B8)/B8</f>
        <v/>
      </c>
      <c r="D9" s="10">
        <f>C9+1</f>
        <v/>
      </c>
      <c r="E9" s="4">
        <f>LN(B9/B8)</f>
        <v/>
      </c>
      <c r="G9" s="2" t="inlineStr">
        <is>
          <t>Mes</t>
        </is>
      </c>
      <c r="H9" s="2" t="inlineStr">
        <is>
          <t>Precio simulado</t>
        </is>
      </c>
      <c r="I9" s="2" t="inlineStr">
        <is>
          <t>Retorno simulado</t>
        </is>
      </c>
    </row>
    <row r="10">
      <c r="A10" s="7" t="n">
        <v>42186</v>
      </c>
      <c r="B10" s="8" t="n">
        <v>6.063889</v>
      </c>
      <c r="C10" s="4">
        <f>(B10-B9)/B9</f>
        <v/>
      </c>
      <c r="D10" s="10">
        <f>C10+1</f>
        <v/>
      </c>
      <c r="E10" s="4">
        <f>LN(B10/B9)</f>
        <v/>
      </c>
      <c r="G10" s="12" t="n">
        <v>44958</v>
      </c>
      <c r="H10" s="8">
        <f>B100*EXP(I10)</f>
        <v/>
      </c>
      <c r="I10" s="4">
        <f>_xlfn.NORM.INV(RAND(),$H$3,$H$5)</f>
        <v/>
      </c>
    </row>
    <row r="11">
      <c r="A11" s="7" t="n">
        <v>42217</v>
      </c>
      <c r="B11" s="8" t="n">
        <v>4.830555</v>
      </c>
      <c r="C11" s="4">
        <f>(B11-B10)/B10</f>
        <v/>
      </c>
      <c r="D11" s="10">
        <f>C11+1</f>
        <v/>
      </c>
      <c r="E11" s="4">
        <f>LN(B11/B10)</f>
        <v/>
      </c>
      <c r="G11" s="12" t="n">
        <v>44986</v>
      </c>
      <c r="H11" s="8">
        <f>H10*EXP(I11)</f>
        <v/>
      </c>
      <c r="I11" s="4">
        <f>_xlfn.NORM.INV(RAND(),$H$3,$H$5)</f>
        <v/>
      </c>
    </row>
    <row r="12">
      <c r="A12" s="7" t="n">
        <v>42248</v>
      </c>
      <c r="B12" s="8" t="n">
        <v>4.490104</v>
      </c>
      <c r="C12" s="4">
        <f>(B12-B11)/B11</f>
        <v/>
      </c>
      <c r="D12" s="10">
        <f>C12+1</f>
        <v/>
      </c>
      <c r="E12" s="4">
        <f>LN(B12/B11)</f>
        <v/>
      </c>
      <c r="G12" s="12" t="n">
        <v>45017</v>
      </c>
      <c r="H12" s="8">
        <f>H11*EXP(I12)</f>
        <v/>
      </c>
      <c r="I12" s="4">
        <f>_xlfn.NORM.INV(RAND(),$H$3,$H$5)</f>
        <v/>
      </c>
    </row>
    <row r="13">
      <c r="A13" s="7" t="n">
        <v>42278</v>
      </c>
      <c r="B13" s="8" t="n">
        <v>4.599305</v>
      </c>
      <c r="C13" s="4">
        <f>(B13-B12)/B12</f>
        <v/>
      </c>
      <c r="D13" s="10">
        <f>C13+1</f>
        <v/>
      </c>
      <c r="E13" s="4">
        <f>LN(B13/B12)</f>
        <v/>
      </c>
      <c r="G13" s="12" t="n">
        <v>45047</v>
      </c>
      <c r="H13" s="8">
        <f>H12*EXP(I13)</f>
        <v/>
      </c>
      <c r="I13" s="4">
        <f>_xlfn.NORM.INV(RAND(),$H$3,$H$5)</f>
        <v/>
      </c>
    </row>
    <row r="14">
      <c r="A14" s="7" t="n">
        <v>42309</v>
      </c>
      <c r="B14" s="8" t="n">
        <v>4.239583</v>
      </c>
      <c r="C14" s="4">
        <f>(B14-B13)/B13</f>
        <v/>
      </c>
      <c r="D14" s="10">
        <f>C14+1</f>
        <v/>
      </c>
      <c r="E14" s="4">
        <f>LN(B14/B13)</f>
        <v/>
      </c>
      <c r="G14" s="12" t="n">
        <v>45078</v>
      </c>
      <c r="H14" s="8">
        <f>H13*EXP(I14)</f>
        <v/>
      </c>
      <c r="I14" s="4">
        <f>_xlfn.NORM.INV(RAND(),$H$3,$H$5)</f>
        <v/>
      </c>
    </row>
    <row r="15">
      <c r="A15" s="7" t="n">
        <v>42339</v>
      </c>
      <c r="B15" s="8" t="n">
        <v>3.937673</v>
      </c>
      <c r="C15" s="4">
        <f>(B15-B14)/B14</f>
        <v/>
      </c>
      <c r="D15" s="10">
        <f>C15+1</f>
        <v/>
      </c>
      <c r="E15" s="4">
        <f>LN(B15/B14)</f>
        <v/>
      </c>
      <c r="G15" s="12" t="n">
        <v>45108</v>
      </c>
      <c r="H15" s="8">
        <f>H14*EXP(I15)</f>
        <v/>
      </c>
      <c r="I15" s="4">
        <f>_xlfn.NORM.INV(RAND(),$H$3,$H$5)</f>
        <v/>
      </c>
    </row>
    <row r="16">
      <c r="A16" s="7" t="n">
        <v>42370</v>
      </c>
      <c r="B16" s="8" t="n">
        <v>3.796354</v>
      </c>
      <c r="C16" s="4">
        <f>(B16-B15)/B15</f>
        <v/>
      </c>
      <c r="D16" s="10">
        <f>C16+1</f>
        <v/>
      </c>
      <c r="E16" s="4">
        <f>LN(B16/B15)</f>
        <v/>
      </c>
      <c r="G16" s="12" t="n">
        <v>45139</v>
      </c>
      <c r="H16" s="8">
        <f>H15*EXP(I16)</f>
        <v/>
      </c>
      <c r="I16" s="4">
        <f>_xlfn.NORM.INV(RAND(),$H$3,$H$5)</f>
        <v/>
      </c>
    </row>
    <row r="17">
      <c r="A17" s="7" t="n">
        <v>42401</v>
      </c>
      <c r="B17" s="8" t="n">
        <v>3.770659</v>
      </c>
      <c r="C17" s="4">
        <f>(B17-B16)/B16</f>
        <v/>
      </c>
      <c r="D17" s="10">
        <f>C17+1</f>
        <v/>
      </c>
      <c r="E17" s="4">
        <f>LN(B17/B16)</f>
        <v/>
      </c>
      <c r="G17" s="12" t="n">
        <v>45170</v>
      </c>
      <c r="H17" s="8">
        <f>H16*EXP(I17)</f>
        <v/>
      </c>
      <c r="I17" s="4">
        <f>_xlfn.NORM.INV(RAND(),$H$3,$H$5)</f>
        <v/>
      </c>
    </row>
    <row r="18">
      <c r="A18" s="7" t="n">
        <v>42430</v>
      </c>
      <c r="B18" s="8" t="n">
        <v>5.196701</v>
      </c>
      <c r="C18" s="4">
        <f>(B18-B17)/B17</f>
        <v/>
      </c>
      <c r="D18" s="10">
        <f>C18+1</f>
        <v/>
      </c>
      <c r="E18" s="4">
        <f>LN(B18/B17)</f>
        <v/>
      </c>
      <c r="G18" s="12" t="n">
        <v>45200</v>
      </c>
      <c r="H18" s="8">
        <f>H17*EXP(I18)</f>
        <v/>
      </c>
      <c r="I18" s="4">
        <f>_xlfn.NORM.INV(RAND(),$H$3,$H$5)</f>
        <v/>
      </c>
    </row>
    <row r="19">
      <c r="A19" s="7" t="n">
        <v>42461</v>
      </c>
      <c r="B19" s="8" t="n">
        <v>4.400173</v>
      </c>
      <c r="C19" s="4">
        <f>(B19-B18)/B18</f>
        <v/>
      </c>
      <c r="D19" s="10">
        <f>C19+1</f>
        <v/>
      </c>
      <c r="E19" s="4">
        <f>LN(B19/B18)</f>
        <v/>
      </c>
      <c r="G19" s="12" t="n">
        <v>45231</v>
      </c>
      <c r="H19" s="8">
        <f>H18*EXP(I19)</f>
        <v/>
      </c>
      <c r="I19" s="4">
        <f>_xlfn.NORM.INV(RAND(),$H$3,$H$5)</f>
        <v/>
      </c>
    </row>
    <row r="20">
      <c r="A20" s="7" t="n">
        <v>42491</v>
      </c>
      <c r="B20" s="8" t="n">
        <v>3.616493</v>
      </c>
      <c r="C20" s="4">
        <f>(B20-B19)/B19</f>
        <v/>
      </c>
      <c r="D20" s="10">
        <f>C20+1</f>
        <v/>
      </c>
      <c r="E20" s="4">
        <f>LN(B20/B19)</f>
        <v/>
      </c>
      <c r="G20" s="12" t="n">
        <v>45261</v>
      </c>
      <c r="H20" s="8">
        <f>H19*EXP(I20)</f>
        <v/>
      </c>
      <c r="I20" s="4">
        <f>_xlfn.NORM.INV(RAND(),$H$3,$H$5)</f>
        <v/>
      </c>
    </row>
    <row r="21">
      <c r="A21" s="7" t="n">
        <v>42522</v>
      </c>
      <c r="B21" s="8" t="n">
        <v>4.676388</v>
      </c>
      <c r="C21" s="4">
        <f>(B21-B20)/B20</f>
        <v/>
      </c>
      <c r="D21" s="10">
        <f>C21+1</f>
        <v/>
      </c>
      <c r="E21" s="4">
        <f>LN(B21/B20)</f>
        <v/>
      </c>
      <c r="G21" s="12" t="n">
        <v>45292</v>
      </c>
      <c r="H21" s="8">
        <f>H20*EXP(I21)</f>
        <v/>
      </c>
      <c r="I21" s="4">
        <f>_xlfn.NORM.INV(RAND(),$H$3,$H$5)</f>
        <v/>
      </c>
    </row>
    <row r="22">
      <c r="A22" s="7" t="n">
        <v>42552</v>
      </c>
      <c r="B22" s="8" t="n">
        <v>5.839062</v>
      </c>
      <c r="C22" s="4">
        <f>(B22-B21)/B21</f>
        <v/>
      </c>
      <c r="D22" s="10">
        <f>C22+1</f>
        <v/>
      </c>
      <c r="E22" s="4">
        <f>LN(B22/B21)</f>
        <v/>
      </c>
      <c r="G22" s="12" t="n">
        <v>45323</v>
      </c>
      <c r="H22" s="8">
        <f>H21*EXP(I22)</f>
        <v/>
      </c>
      <c r="I22" s="4">
        <f>_xlfn.NORM.INV(RAND(),$H$3,$H$5)</f>
        <v/>
      </c>
    </row>
    <row r="23">
      <c r="A23" s="7" t="n">
        <v>42583</v>
      </c>
      <c r="B23" s="8" t="n">
        <v>5.620659</v>
      </c>
      <c r="C23" s="4">
        <f>(B23-B22)/B22</f>
        <v/>
      </c>
      <c r="D23" s="10">
        <f>C23+1</f>
        <v/>
      </c>
      <c r="E23" s="4">
        <f>LN(B23/B22)</f>
        <v/>
      </c>
      <c r="G23" s="12" t="n">
        <v>45352</v>
      </c>
      <c r="H23" s="8">
        <f>H22*EXP(I23)</f>
        <v/>
      </c>
      <c r="I23" s="4">
        <f>_xlfn.NORM.INV(RAND(),$H$3,$H$5)</f>
        <v/>
      </c>
    </row>
    <row r="24">
      <c r="A24" s="7" t="n">
        <v>42614</v>
      </c>
      <c r="B24" s="8" t="n">
        <v>5.511458</v>
      </c>
      <c r="C24" s="4">
        <f>(B24-B23)/B23</f>
        <v/>
      </c>
      <c r="D24" s="10">
        <f>C24+1</f>
        <v/>
      </c>
      <c r="E24" s="4">
        <f>LN(B24/B23)</f>
        <v/>
      </c>
      <c r="G24" s="12" t="n">
        <v>45383</v>
      </c>
      <c r="H24" s="8">
        <f>H23*EXP(I24)</f>
        <v/>
      </c>
      <c r="I24" s="4">
        <f>_xlfn.NORM.INV(RAND(),$H$3,$H$5)</f>
        <v/>
      </c>
    </row>
    <row r="25">
      <c r="A25" s="7" t="n">
        <v>42644</v>
      </c>
      <c r="B25" s="8" t="n">
        <v>6.26302</v>
      </c>
      <c r="C25" s="4">
        <f>(B25-B24)/B24</f>
        <v/>
      </c>
      <c r="D25" s="10">
        <f>C25+1</f>
        <v/>
      </c>
      <c r="E25" s="4">
        <f>LN(B25/B24)</f>
        <v/>
      </c>
      <c r="G25" s="12" t="n">
        <v>45413</v>
      </c>
      <c r="H25" s="8">
        <f>H24*EXP(I25)</f>
        <v/>
      </c>
      <c r="I25" s="4">
        <f>_xlfn.NORM.INV(RAND(),$H$3,$H$5)</f>
        <v/>
      </c>
    </row>
    <row r="26">
      <c r="A26" s="7" t="n">
        <v>42675</v>
      </c>
      <c r="B26" s="8" t="n">
        <v>5.074652</v>
      </c>
      <c r="C26" s="4">
        <f>(B26-B25)/B25</f>
        <v/>
      </c>
      <c r="D26" s="10">
        <f>C26+1</f>
        <v/>
      </c>
      <c r="E26" s="4">
        <f>LN(B26/B25)</f>
        <v/>
      </c>
      <c r="G26" s="12" t="n">
        <v>45444</v>
      </c>
      <c r="H26" s="8">
        <f>H25*EXP(I26)</f>
        <v/>
      </c>
      <c r="I26" s="4">
        <f>_xlfn.NORM.INV(RAND(),$H$3,$H$5)</f>
        <v/>
      </c>
    </row>
    <row r="27">
      <c r="A27" s="7" t="n">
        <v>42705</v>
      </c>
      <c r="B27" s="8" t="n">
        <v>4.952604</v>
      </c>
      <c r="C27" s="4">
        <f>(B27-B26)/B26</f>
        <v/>
      </c>
      <c r="D27" s="10">
        <f>C27+1</f>
        <v/>
      </c>
      <c r="E27" s="4">
        <f>LN(B27/B26)</f>
        <v/>
      </c>
      <c r="G27" s="12" t="n">
        <v>45474</v>
      </c>
      <c r="H27" s="8">
        <f>H26*EXP(I27)</f>
        <v/>
      </c>
      <c r="I27" s="4">
        <f>_xlfn.NORM.INV(RAND(),$H$3,$H$5)</f>
        <v/>
      </c>
    </row>
    <row r="28">
      <c r="A28" s="7" t="n">
        <v>42736</v>
      </c>
      <c r="B28" s="8" t="n">
        <v>5.87118</v>
      </c>
      <c r="C28" s="4">
        <f>(B28-B27)/B27</f>
        <v/>
      </c>
      <c r="D28" s="10">
        <f>C28+1</f>
        <v/>
      </c>
      <c r="E28" s="4">
        <f>LN(B28/B27)</f>
        <v/>
      </c>
      <c r="G28" s="12" t="n">
        <v>45505</v>
      </c>
      <c r="H28" s="8">
        <f>H27*EXP(I28)</f>
        <v/>
      </c>
      <c r="I28" s="4">
        <f>_xlfn.NORM.INV(RAND(),$H$3,$H$5)</f>
        <v/>
      </c>
    </row>
    <row r="29">
      <c r="A29" s="7" t="n">
        <v>42767</v>
      </c>
      <c r="B29" s="8" t="n">
        <v>6.86684</v>
      </c>
      <c r="C29" s="4">
        <f>(B29-B28)/B28</f>
        <v/>
      </c>
      <c r="D29" s="10">
        <f>C29+1</f>
        <v/>
      </c>
      <c r="E29" s="4">
        <f>LN(B29/B28)</f>
        <v/>
      </c>
      <c r="G29" s="12" t="n">
        <v>45536</v>
      </c>
      <c r="H29" s="8">
        <f>H28*EXP(I29)</f>
        <v/>
      </c>
      <c r="I29" s="4">
        <f>_xlfn.NORM.INV(RAND(),$H$3,$H$5)</f>
        <v/>
      </c>
    </row>
    <row r="30">
      <c r="A30" s="7" t="n">
        <v>42795</v>
      </c>
      <c r="B30" s="8" t="n">
        <v>6.629166</v>
      </c>
      <c r="C30" s="4">
        <f>(B30-B29)/B29</f>
        <v/>
      </c>
      <c r="D30" s="10">
        <f>C30+1</f>
        <v/>
      </c>
      <c r="E30" s="4">
        <f>LN(B30/B29)</f>
        <v/>
      </c>
      <c r="G30" s="12" t="n">
        <v>45566</v>
      </c>
      <c r="H30" s="8">
        <f>H29*EXP(I30)</f>
        <v/>
      </c>
      <c r="I30" s="4">
        <f>_xlfn.NORM.INV(RAND(),$H$3,$H$5)</f>
        <v/>
      </c>
    </row>
    <row r="31">
      <c r="A31" s="7" t="n">
        <v>42826</v>
      </c>
      <c r="B31" s="8" t="n">
        <v>5.704166</v>
      </c>
      <c r="C31" s="4">
        <f>(B31-B30)/B30</f>
        <v/>
      </c>
      <c r="D31" s="10">
        <f>C31+1</f>
        <v/>
      </c>
      <c r="E31" s="4">
        <f>LN(B31/B30)</f>
        <v/>
      </c>
      <c r="G31" s="12" t="n">
        <v>45597</v>
      </c>
      <c r="H31" s="8">
        <f>H30*EXP(I31)</f>
        <v/>
      </c>
      <c r="I31" s="4">
        <f>_xlfn.NORM.INV(RAND(),$H$3,$H$5)</f>
        <v/>
      </c>
    </row>
    <row r="32">
      <c r="A32" s="7" t="n">
        <v>42856</v>
      </c>
      <c r="B32" s="8" t="n">
        <v>4.907638</v>
      </c>
      <c r="C32" s="4">
        <f>(B32-B31)/B31</f>
        <v/>
      </c>
      <c r="D32" s="10">
        <f>C32+1</f>
        <v/>
      </c>
      <c r="E32" s="4">
        <f>LN(B32/B31)</f>
        <v/>
      </c>
      <c r="G32" s="12" t="n">
        <v>45627</v>
      </c>
      <c r="H32" s="8">
        <f>H31*EXP(I32)</f>
        <v/>
      </c>
      <c r="I32" s="4">
        <f>_xlfn.NORM.INV(RAND(),$H$3,$H$5)</f>
        <v/>
      </c>
    </row>
    <row r="33">
      <c r="A33" s="7" t="n">
        <v>42887</v>
      </c>
      <c r="B33" s="8" t="n">
        <v>5.190277</v>
      </c>
      <c r="C33" s="4">
        <f>(B33-B32)/B32</f>
        <v/>
      </c>
      <c r="D33" s="10">
        <f>C33+1</f>
        <v/>
      </c>
      <c r="E33" s="4">
        <f>LN(B33/B32)</f>
        <v/>
      </c>
      <c r="G33" s="12" t="n">
        <v>45658</v>
      </c>
      <c r="H33" s="8">
        <f>H32*EXP(I33)</f>
        <v/>
      </c>
      <c r="I33" s="4">
        <f>_xlfn.NORM.INV(RAND(),$H$3,$H$5)</f>
        <v/>
      </c>
    </row>
    <row r="34">
      <c r="A34" s="7" t="n">
        <v>42917</v>
      </c>
      <c r="B34" s="8" t="n">
        <v>5.472916</v>
      </c>
      <c r="C34" s="4">
        <f>(B34-B33)/B33</f>
        <v/>
      </c>
      <c r="D34" s="10">
        <f>C34+1</f>
        <v/>
      </c>
      <c r="E34" s="4">
        <f>LN(B34/B33)</f>
        <v/>
      </c>
      <c r="G34" s="12" t="n">
        <v>45689</v>
      </c>
      <c r="H34" s="8">
        <f>H33*EXP(I34)</f>
        <v/>
      </c>
      <c r="I34" s="4">
        <f>_xlfn.NORM.INV(RAND(),$H$3,$H$5)</f>
        <v/>
      </c>
    </row>
    <row r="35">
      <c r="A35" s="7" t="n">
        <v>42948</v>
      </c>
      <c r="B35" s="8" t="n">
        <v>5.382986</v>
      </c>
      <c r="C35" s="4">
        <f>(B35-B34)/B34</f>
        <v/>
      </c>
      <c r="D35" s="10">
        <f>C35+1</f>
        <v/>
      </c>
      <c r="E35" s="4">
        <f>LN(B35/B34)</f>
        <v/>
      </c>
      <c r="G35" s="12" t="n">
        <v>45717</v>
      </c>
      <c r="H35" s="8">
        <f>H34*EXP(I35)</f>
        <v/>
      </c>
      <c r="I35" s="4">
        <f>_xlfn.NORM.INV(RAND(),$H$3,$H$5)</f>
        <v/>
      </c>
    </row>
    <row r="36">
      <c r="A36" s="7" t="n">
        <v>42979</v>
      </c>
      <c r="B36" s="8" t="n">
        <v>5.126041</v>
      </c>
      <c r="C36" s="4">
        <f>(B36-B35)/B35</f>
        <v/>
      </c>
      <c r="D36" s="10">
        <f>C36+1</f>
        <v/>
      </c>
      <c r="E36" s="4">
        <f>LN(B36/B35)</f>
        <v/>
      </c>
      <c r="G36" s="12" t="n">
        <v>45748</v>
      </c>
      <c r="H36" s="8">
        <f>H35*EXP(I36)</f>
        <v/>
      </c>
      <c r="I36" s="4">
        <f>_xlfn.NORM.INV(RAND(),$H$3,$H$5)</f>
        <v/>
      </c>
    </row>
    <row r="37">
      <c r="A37" s="7" t="n">
        <v>43009</v>
      </c>
      <c r="B37" s="8" t="n">
        <v>5.122334</v>
      </c>
      <c r="C37" s="4">
        <f>(B37-B36)/B36</f>
        <v/>
      </c>
      <c r="D37" s="10">
        <f>C37+1</f>
        <v/>
      </c>
      <c r="E37" s="4">
        <f>LN(B37/B36)</f>
        <v/>
      </c>
      <c r="G37" s="12" t="n">
        <v>45778</v>
      </c>
      <c r="H37" s="8">
        <f>H36*EXP(I37)</f>
        <v/>
      </c>
      <c r="I37" s="4">
        <f>_xlfn.NORM.INV(RAND(),$H$3,$H$5)</f>
        <v/>
      </c>
    </row>
    <row r="38">
      <c r="A38" s="7" t="n">
        <v>43040</v>
      </c>
      <c r="B38" s="8" t="n">
        <v>4.373533</v>
      </c>
      <c r="C38" s="4">
        <f>(B38-B37)/B37</f>
        <v/>
      </c>
      <c r="D38" s="10">
        <f>C38+1</f>
        <v/>
      </c>
      <c r="E38" s="4">
        <f>LN(B38/B37)</f>
        <v/>
      </c>
      <c r="G38" s="12" t="n">
        <v>45809</v>
      </c>
      <c r="H38" s="8">
        <f>H37*EXP(I38)</f>
        <v/>
      </c>
      <c r="I38" s="4">
        <f>_xlfn.NORM.INV(RAND(),$H$3,$H$5)</f>
        <v/>
      </c>
    </row>
    <row r="39">
      <c r="A39" s="7" t="n">
        <v>43070</v>
      </c>
      <c r="B39" s="8" t="n">
        <v>4.55245</v>
      </c>
      <c r="C39" s="4">
        <f>(B39-B38)/B38</f>
        <v/>
      </c>
      <c r="D39" s="10">
        <f>C39+1</f>
        <v/>
      </c>
      <c r="E39" s="4">
        <f>LN(B39/B38)</f>
        <v/>
      </c>
      <c r="G39" s="12" t="n">
        <v>45839</v>
      </c>
      <c r="H39" s="8">
        <f>H38*EXP(I39)</f>
        <v/>
      </c>
      <c r="I39" s="4">
        <f>_xlfn.NORM.INV(RAND(),$H$3,$H$5)</f>
        <v/>
      </c>
    </row>
    <row r="40">
      <c r="A40" s="7" t="n">
        <v>43101</v>
      </c>
      <c r="B40" s="8" t="n">
        <v>4.969923</v>
      </c>
      <c r="C40" s="4">
        <f>(B40-B39)/B39</f>
        <v/>
      </c>
      <c r="D40" s="10">
        <f>C40+1</f>
        <v/>
      </c>
      <c r="E40" s="4">
        <f>LN(B40/B39)</f>
        <v/>
      </c>
      <c r="G40" s="12" t="n">
        <v>45870</v>
      </c>
      <c r="H40" s="8">
        <f>H39*EXP(I40)</f>
        <v/>
      </c>
      <c r="I40" s="4">
        <f>_xlfn.NORM.INV(RAND(),$H$3,$H$5)</f>
        <v/>
      </c>
    </row>
    <row r="41">
      <c r="A41" s="7" t="n">
        <v>43132</v>
      </c>
      <c r="B41" s="8" t="n">
        <v>5.44041</v>
      </c>
      <c r="C41" s="4">
        <f>(B41-B40)/B40</f>
        <v/>
      </c>
      <c r="D41" s="10">
        <f>C41+1</f>
        <v/>
      </c>
      <c r="E41" s="4">
        <f>LN(B41/B40)</f>
        <v/>
      </c>
      <c r="G41" s="12" t="n">
        <v>45901</v>
      </c>
      <c r="H41" s="8">
        <f>H40*EXP(I41)</f>
        <v/>
      </c>
      <c r="I41" s="4">
        <f>_xlfn.NORM.INV(RAND(),$H$3,$H$5)</f>
        <v/>
      </c>
    </row>
    <row r="42">
      <c r="A42" s="7" t="n">
        <v>43160</v>
      </c>
      <c r="B42" s="8" t="n">
        <v>5.672339</v>
      </c>
      <c r="C42" s="4">
        <f>(B42-B41)/B41</f>
        <v/>
      </c>
      <c r="D42" s="10">
        <f>C42+1</f>
        <v/>
      </c>
      <c r="E42" s="4">
        <f>LN(B42/B41)</f>
        <v/>
      </c>
      <c r="G42" s="12" t="n">
        <v>45931</v>
      </c>
      <c r="H42" s="8">
        <f>H41*EXP(I42)</f>
        <v/>
      </c>
      <c r="I42" s="4">
        <f>_xlfn.NORM.INV(RAND(),$H$3,$H$5)</f>
        <v/>
      </c>
    </row>
    <row r="43">
      <c r="A43" s="7" t="n">
        <v>43191</v>
      </c>
      <c r="B43" s="8" t="n">
        <v>5.606074</v>
      </c>
      <c r="C43" s="4">
        <f>(B43-B42)/B42</f>
        <v/>
      </c>
      <c r="D43" s="10">
        <f>C43+1</f>
        <v/>
      </c>
      <c r="E43" s="4">
        <f>LN(B43/B42)</f>
        <v/>
      </c>
      <c r="G43" s="12" t="n">
        <v>45962</v>
      </c>
      <c r="H43" s="8">
        <f>H42*EXP(I43)</f>
        <v/>
      </c>
      <c r="I43" s="4">
        <f>_xlfn.NORM.INV(RAND(),$H$3,$H$5)</f>
        <v/>
      </c>
    </row>
    <row r="44">
      <c r="A44" s="7" t="n">
        <v>43221</v>
      </c>
      <c r="B44" s="8" t="n">
        <v>5.082575</v>
      </c>
      <c r="C44" s="4">
        <f>(B44-B43)/B43</f>
        <v/>
      </c>
      <c r="D44" s="10">
        <f>C44+1</f>
        <v/>
      </c>
      <c r="E44" s="4">
        <f>LN(B44/B43)</f>
        <v/>
      </c>
      <c r="G44" s="12" t="n">
        <v>45992</v>
      </c>
      <c r="H44" s="8">
        <f>H43*EXP(I44)</f>
        <v/>
      </c>
      <c r="I44" s="4">
        <f>_xlfn.NORM.INV(RAND(),$H$3,$H$5)</f>
        <v/>
      </c>
    </row>
    <row r="45">
      <c r="A45" s="7" t="n">
        <v>43252</v>
      </c>
      <c r="B45" s="8" t="n">
        <v>4.837392</v>
      </c>
      <c r="C45" s="4">
        <f>(B45-B44)/B44</f>
        <v/>
      </c>
      <c r="D45" s="10">
        <f>C45+1</f>
        <v/>
      </c>
      <c r="E45" s="4">
        <f>LN(B45/B44)</f>
        <v/>
      </c>
      <c r="G45" s="12" t="n">
        <v>46023</v>
      </c>
      <c r="H45" s="8">
        <f>H44*EXP(I45)</f>
        <v/>
      </c>
      <c r="I45" s="4">
        <f>_xlfn.NORM.INV(RAND(),$H$3,$H$5)</f>
        <v/>
      </c>
    </row>
    <row r="46">
      <c r="A46" s="7" t="n">
        <v>43282</v>
      </c>
      <c r="B46" s="8" t="n">
        <v>5.453663</v>
      </c>
      <c r="C46" s="4">
        <f>(B46-B45)/B45</f>
        <v/>
      </c>
      <c r="D46" s="10">
        <f>C46+1</f>
        <v/>
      </c>
      <c r="E46" s="4">
        <f>LN(B46/B45)</f>
        <v/>
      </c>
    </row>
    <row r="47">
      <c r="A47" s="7" t="n">
        <v>43313</v>
      </c>
      <c r="B47" s="8" t="n">
        <v>4.943417</v>
      </c>
      <c r="C47" s="4">
        <f>(B47-B46)/B46</f>
        <v/>
      </c>
      <c r="D47" s="10">
        <f>C47+1</f>
        <v/>
      </c>
      <c r="E47" s="4">
        <f>LN(B47/B46)</f>
        <v/>
      </c>
    </row>
    <row r="48">
      <c r="A48" s="7" t="n">
        <v>43344</v>
      </c>
      <c r="B48" s="8" t="n">
        <v>4.74462</v>
      </c>
      <c r="C48" s="4">
        <f>(B48-B47)/B47</f>
        <v/>
      </c>
      <c r="D48" s="10">
        <f>C48+1</f>
        <v/>
      </c>
      <c r="E48" s="4">
        <f>LN(B48/B47)</f>
        <v/>
      </c>
    </row>
    <row r="49">
      <c r="A49" s="7" t="n">
        <v>43374</v>
      </c>
      <c r="B49" s="8" t="n">
        <v>7.309101</v>
      </c>
      <c r="C49" s="4">
        <f>(B49-B48)/B48</f>
        <v/>
      </c>
      <c r="D49" s="10">
        <f>C49+1</f>
        <v/>
      </c>
      <c r="E49" s="4">
        <f>LN(B49/B48)</f>
        <v/>
      </c>
    </row>
    <row r="50">
      <c r="A50" s="7" t="n">
        <v>43405</v>
      </c>
      <c r="B50" s="8" t="n">
        <v>8.422364</v>
      </c>
      <c r="C50" s="4">
        <f>(B50-B49)/B49</f>
        <v/>
      </c>
      <c r="D50" s="10">
        <f>C50+1</f>
        <v/>
      </c>
      <c r="E50" s="4">
        <f>LN(B50/B49)</f>
        <v/>
      </c>
    </row>
    <row r="51">
      <c r="A51" s="7" t="n">
        <v>43435</v>
      </c>
      <c r="B51" s="8" t="n">
        <v>9.184419</v>
      </c>
      <c r="C51" s="4">
        <f>(B51-B50)/B50</f>
        <v/>
      </c>
      <c r="D51" s="10">
        <f>C51+1</f>
        <v/>
      </c>
      <c r="E51" s="4">
        <f>LN(B51/B50)</f>
        <v/>
      </c>
    </row>
    <row r="52">
      <c r="A52" s="7" t="n">
        <v>43466</v>
      </c>
      <c r="B52" s="8" t="n">
        <v>9.177792</v>
      </c>
      <c r="C52" s="4">
        <f>(B52-B51)/B51</f>
        <v/>
      </c>
      <c r="D52" s="10">
        <f>C52+1</f>
        <v/>
      </c>
      <c r="E52" s="4">
        <f>LN(B52/B51)</f>
        <v/>
      </c>
    </row>
    <row r="53">
      <c r="A53" s="7" t="n">
        <v>43497</v>
      </c>
      <c r="B53" s="8" t="n">
        <v>9.542253000000001</v>
      </c>
      <c r="C53" s="4">
        <f>(B53-B52)/B52</f>
        <v/>
      </c>
      <c r="D53" s="10">
        <f>C53+1</f>
        <v/>
      </c>
      <c r="E53" s="4">
        <f>LN(B53/B52)</f>
        <v/>
      </c>
    </row>
    <row r="54">
      <c r="A54" s="7" t="n">
        <v>43525</v>
      </c>
      <c r="B54" s="8" t="n">
        <v>9.210925</v>
      </c>
      <c r="C54" s="4">
        <f>(B54-B53)/B53</f>
        <v/>
      </c>
      <c r="D54" s="10">
        <f>C54+1</f>
        <v/>
      </c>
      <c r="E54" s="4">
        <f>LN(B54/B53)</f>
        <v/>
      </c>
    </row>
    <row r="55">
      <c r="A55" s="7" t="n">
        <v>43556</v>
      </c>
      <c r="B55" s="8" t="n">
        <v>9.767557</v>
      </c>
      <c r="C55" s="4">
        <f>(B55-B54)/B54</f>
        <v/>
      </c>
      <c r="D55" s="10">
        <f>C55+1</f>
        <v/>
      </c>
      <c r="E55" s="4">
        <f>LN(B55/B54)</f>
        <v/>
      </c>
    </row>
    <row r="56">
      <c r="A56" s="7" t="n">
        <v>43586</v>
      </c>
      <c r="B56" s="8" t="n">
        <v>9.780810000000001</v>
      </c>
      <c r="C56" s="4">
        <f>(B56-B55)/B55</f>
        <v/>
      </c>
      <c r="D56" s="10">
        <f>C56+1</f>
        <v/>
      </c>
      <c r="E56" s="4">
        <f>LN(B56/B55)</f>
        <v/>
      </c>
    </row>
    <row r="57">
      <c r="A57" s="7" t="n">
        <v>43617</v>
      </c>
      <c r="B57" s="8" t="n">
        <v>9.840449</v>
      </c>
      <c r="C57" s="4">
        <f>(B57-B56)/B56</f>
        <v/>
      </c>
      <c r="D57" s="10">
        <f>C57+1</f>
        <v/>
      </c>
      <c r="E57" s="4">
        <f>LN(B57/B56)</f>
        <v/>
      </c>
    </row>
    <row r="58">
      <c r="A58" s="7" t="n">
        <v>43647</v>
      </c>
      <c r="B58" s="8" t="n">
        <v>9.369963</v>
      </c>
      <c r="C58" s="4">
        <f>(B58-B57)/B57</f>
        <v/>
      </c>
      <c r="D58" s="10">
        <f>C58+1</f>
        <v/>
      </c>
      <c r="E58" s="4">
        <f>LN(B58/B57)</f>
        <v/>
      </c>
    </row>
    <row r="59">
      <c r="A59" s="7" t="n">
        <v>43678</v>
      </c>
      <c r="B59" s="8" t="n">
        <v>9.780810000000001</v>
      </c>
      <c r="C59" s="4">
        <f>(B59-B58)/B58</f>
        <v/>
      </c>
      <c r="D59" s="10">
        <f>C59+1</f>
        <v/>
      </c>
      <c r="E59" s="4">
        <f>LN(B59/B58)</f>
        <v/>
      </c>
    </row>
    <row r="60">
      <c r="A60" s="7" t="n">
        <v>43709</v>
      </c>
      <c r="B60" s="8" t="n">
        <v>9.495867000000001</v>
      </c>
      <c r="C60" s="4">
        <f>(B60-B59)/B59</f>
        <v/>
      </c>
      <c r="D60" s="10">
        <f>C60+1</f>
        <v/>
      </c>
      <c r="E60" s="4">
        <f>LN(B60/B59)</f>
        <v/>
      </c>
    </row>
    <row r="61">
      <c r="A61" s="7" t="n">
        <v>43739</v>
      </c>
      <c r="B61" s="8" t="n">
        <v>9.045261</v>
      </c>
      <c r="C61" s="4">
        <f>(B61-B60)/B60</f>
        <v/>
      </c>
      <c r="D61" s="10">
        <f>C61+1</f>
        <v/>
      </c>
      <c r="E61" s="4">
        <f>LN(B61/B60)</f>
        <v/>
      </c>
    </row>
    <row r="62">
      <c r="A62" s="7" t="n">
        <v>43770</v>
      </c>
      <c r="B62" s="8" t="n">
        <v>8.647667</v>
      </c>
      <c r="C62" s="4">
        <f>(B62-B61)/B61</f>
        <v/>
      </c>
      <c r="D62" s="10">
        <f>C62+1</f>
        <v/>
      </c>
      <c r="E62" s="4">
        <f>LN(B62/B61)</f>
        <v/>
      </c>
    </row>
    <row r="63">
      <c r="A63" s="7" t="n">
        <v>43800</v>
      </c>
      <c r="B63" s="8" t="n">
        <v>9.138033</v>
      </c>
      <c r="C63" s="4">
        <f>(B63-B62)/B62</f>
        <v/>
      </c>
      <c r="D63" s="10">
        <f>C63+1</f>
        <v/>
      </c>
      <c r="E63" s="4">
        <f>LN(B63/B62)</f>
        <v/>
      </c>
    </row>
    <row r="64">
      <c r="A64" s="7" t="n">
        <v>43831</v>
      </c>
      <c r="B64" s="8" t="n">
        <v>9.906715</v>
      </c>
      <c r="C64" s="4">
        <f>(B64-B63)/B63</f>
        <v/>
      </c>
      <c r="D64" s="10">
        <f>C64+1</f>
        <v/>
      </c>
      <c r="E64" s="4">
        <f>LN(B64/B63)</f>
        <v/>
      </c>
    </row>
    <row r="65">
      <c r="A65" s="7" t="n">
        <v>43862</v>
      </c>
      <c r="B65" s="8" t="n">
        <v>9.250685000000001</v>
      </c>
      <c r="C65" s="4">
        <f>(B65-B64)/B64</f>
        <v/>
      </c>
      <c r="D65" s="10">
        <f>C65+1</f>
        <v/>
      </c>
      <c r="E65" s="4">
        <f>LN(B65/B64)</f>
        <v/>
      </c>
    </row>
    <row r="66">
      <c r="A66" s="7" t="n">
        <v>43891</v>
      </c>
      <c r="B66" s="8" t="n">
        <v>5.904269</v>
      </c>
      <c r="C66" s="4">
        <f>(B66-B65)/B65</f>
        <v/>
      </c>
      <c r="D66" s="10">
        <f>C66+1</f>
        <v/>
      </c>
      <c r="E66" s="4">
        <f>LN(B66/B65)</f>
        <v/>
      </c>
    </row>
    <row r="67">
      <c r="A67" s="7" t="n">
        <v>43922</v>
      </c>
      <c r="B67" s="8" t="n">
        <v>6.30849</v>
      </c>
      <c r="C67" s="4">
        <f>(B67-B66)/B66</f>
        <v/>
      </c>
      <c r="D67" s="10">
        <f>C67+1</f>
        <v/>
      </c>
      <c r="E67" s="4">
        <f>LN(B67/B66)</f>
        <v/>
      </c>
    </row>
    <row r="68">
      <c r="A68" s="7" t="n">
        <v>43952</v>
      </c>
      <c r="B68" s="8" t="n">
        <v>7.15669</v>
      </c>
      <c r="C68" s="4">
        <f>(B68-B67)/B67</f>
        <v/>
      </c>
      <c r="D68" s="10">
        <f>C68+1</f>
        <v/>
      </c>
      <c r="E68" s="4">
        <f>LN(B68/B67)</f>
        <v/>
      </c>
    </row>
    <row r="69">
      <c r="A69" s="7" t="n">
        <v>43983</v>
      </c>
      <c r="B69" s="8" t="n">
        <v>7.302474</v>
      </c>
      <c r="C69" s="4">
        <f>(B69-B68)/B68</f>
        <v/>
      </c>
      <c r="D69" s="10">
        <f>C69+1</f>
        <v/>
      </c>
      <c r="E69" s="4">
        <f>LN(B69/B68)</f>
        <v/>
      </c>
    </row>
    <row r="70">
      <c r="A70" s="7" t="n">
        <v>44013</v>
      </c>
      <c r="B70" s="8" t="n">
        <v>7.951878</v>
      </c>
      <c r="C70" s="4">
        <f>(B70-B69)/B69</f>
        <v/>
      </c>
      <c r="D70" s="10">
        <f>C70+1</f>
        <v/>
      </c>
      <c r="E70" s="4">
        <f>LN(B70/B69)</f>
        <v/>
      </c>
    </row>
    <row r="71">
      <c r="A71" s="7" t="n">
        <v>44044</v>
      </c>
      <c r="B71" s="8" t="n">
        <v>7.264775</v>
      </c>
      <c r="C71" s="4">
        <f>(B71-B70)/B70</f>
        <v/>
      </c>
      <c r="D71" s="10">
        <f>C71+1</f>
        <v/>
      </c>
      <c r="E71" s="4">
        <f>LN(B71/B70)</f>
        <v/>
      </c>
    </row>
    <row r="72">
      <c r="A72" s="7" t="n">
        <v>44075</v>
      </c>
      <c r="B72" s="8" t="n">
        <v>6.968113</v>
      </c>
      <c r="C72" s="4">
        <f>(B72-B71)/B71</f>
        <v/>
      </c>
      <c r="D72" s="10">
        <f>C72+1</f>
        <v/>
      </c>
      <c r="E72" s="4">
        <f>LN(B72/B71)</f>
        <v/>
      </c>
    </row>
    <row r="73">
      <c r="A73" s="7" t="n">
        <v>44105</v>
      </c>
      <c r="B73" s="8" t="n">
        <v>7.0716</v>
      </c>
      <c r="C73" s="4">
        <f>(B73-B72)/B72</f>
        <v/>
      </c>
      <c r="D73" s="10">
        <f>C73+1</f>
        <v/>
      </c>
      <c r="E73" s="4">
        <f>LN(B73/B72)</f>
        <v/>
      </c>
    </row>
    <row r="74">
      <c r="A74" s="7" t="n">
        <v>44136</v>
      </c>
      <c r="B74" s="8" t="n">
        <v>8.713590999999999</v>
      </c>
      <c r="C74" s="4">
        <f>(B74-B73)/B73</f>
        <v/>
      </c>
      <c r="D74" s="10">
        <f>C74+1</f>
        <v/>
      </c>
      <c r="E74" s="4">
        <f>LN(B74/B73)</f>
        <v/>
      </c>
    </row>
    <row r="75">
      <c r="A75" s="7" t="n">
        <v>44166</v>
      </c>
      <c r="B75" s="8" t="n">
        <v>10.045122</v>
      </c>
      <c r="C75" s="4">
        <f>(B75-B74)/B74</f>
        <v/>
      </c>
      <c r="D75" s="10">
        <f>C75+1</f>
        <v/>
      </c>
      <c r="E75" s="4">
        <f>LN(B75/B74)</f>
        <v/>
      </c>
    </row>
    <row r="76">
      <c r="A76" s="7" t="n">
        <v>44197</v>
      </c>
      <c r="B76" s="8" t="n">
        <v>9.451796999999999</v>
      </c>
      <c r="C76" s="4">
        <f>(B76-B75)/B75</f>
        <v/>
      </c>
      <c r="D76" s="10">
        <f>C76+1</f>
        <v/>
      </c>
      <c r="E76" s="4">
        <f>LN(B76/B75)</f>
        <v/>
      </c>
    </row>
    <row r="77">
      <c r="A77" s="7" t="n">
        <v>44228</v>
      </c>
      <c r="B77" s="8" t="n">
        <v>8.25135</v>
      </c>
      <c r="C77" s="4">
        <f>(B77-B76)/B76</f>
        <v/>
      </c>
      <c r="D77" s="10">
        <f>C77+1</f>
        <v/>
      </c>
      <c r="E77" s="4">
        <f>LN(B77/B76)</f>
        <v/>
      </c>
    </row>
    <row r="78">
      <c r="A78" s="7" t="n">
        <v>44256</v>
      </c>
      <c r="B78" s="8" t="n">
        <v>8.989556</v>
      </c>
      <c r="C78" s="4">
        <f>(B78-B77)/B77</f>
        <v/>
      </c>
      <c r="D78" s="10">
        <f>C78+1</f>
        <v/>
      </c>
      <c r="E78" s="4">
        <f>LN(B78/B77)</f>
        <v/>
      </c>
    </row>
    <row r="79">
      <c r="A79" s="7" t="n">
        <v>44287</v>
      </c>
      <c r="B79" s="8" t="n">
        <v>9.548385</v>
      </c>
      <c r="C79" s="4">
        <f>(B79-B78)/B78</f>
        <v/>
      </c>
      <c r="D79" s="10">
        <f>C79+1</f>
        <v/>
      </c>
      <c r="E79" s="4">
        <f>LN(B79/B78)</f>
        <v/>
      </c>
    </row>
    <row r="80">
      <c r="A80" s="7" t="n">
        <v>44317</v>
      </c>
      <c r="B80" s="8" t="n">
        <v>10.446153</v>
      </c>
      <c r="C80" s="4">
        <f>(B80-B79)/B79</f>
        <v/>
      </c>
      <c r="D80" s="10">
        <f>C80+1</f>
        <v/>
      </c>
      <c r="E80" s="4">
        <f>LN(B80/B79)</f>
        <v/>
      </c>
    </row>
    <row r="81">
      <c r="A81" s="7" t="n">
        <v>44348</v>
      </c>
      <c r="B81" s="8" t="n">
        <v>9.330769</v>
      </c>
      <c r="C81" s="4">
        <f>(B81-B80)/B80</f>
        <v/>
      </c>
      <c r="D81" s="10">
        <f>C81+1</f>
        <v/>
      </c>
      <c r="E81" s="4">
        <f>LN(B81/B80)</f>
        <v/>
      </c>
    </row>
    <row r="82">
      <c r="A82" s="7" t="n">
        <v>44378</v>
      </c>
      <c r="B82" s="8" t="n">
        <v>9.184615000000001</v>
      </c>
      <c r="C82" s="4">
        <f>(B82-B81)/B81</f>
        <v/>
      </c>
      <c r="D82" s="10">
        <f>C82+1</f>
        <v/>
      </c>
      <c r="E82" s="4">
        <f>LN(B82/B81)</f>
        <v/>
      </c>
    </row>
    <row r="83">
      <c r="A83" s="7" t="n">
        <v>44409</v>
      </c>
      <c r="B83" s="8" t="n">
        <v>10.392307</v>
      </c>
      <c r="C83" s="4">
        <f>(B83-B82)/B82</f>
        <v/>
      </c>
      <c r="D83" s="10">
        <f>C83+1</f>
        <v/>
      </c>
      <c r="E83" s="4">
        <f>LN(B83/B82)</f>
        <v/>
      </c>
    </row>
    <row r="84">
      <c r="A84" s="7" t="n">
        <v>44440</v>
      </c>
      <c r="B84" s="8" t="n">
        <v>10.792307</v>
      </c>
      <c r="C84" s="4">
        <f>(B84-B83)/B83</f>
        <v/>
      </c>
      <c r="D84" s="10">
        <f>C84+1</f>
        <v/>
      </c>
      <c r="E84" s="4">
        <f>LN(B84/B83)</f>
        <v/>
      </c>
    </row>
    <row r="85">
      <c r="A85" s="7" t="n">
        <v>44470</v>
      </c>
      <c r="B85" s="8" t="n">
        <v>9.907692000000001</v>
      </c>
      <c r="C85" s="4">
        <f>(B85-B84)/B84</f>
        <v/>
      </c>
      <c r="D85" s="10">
        <f>C85+1</f>
        <v/>
      </c>
      <c r="E85" s="4">
        <f>LN(B85/B84)</f>
        <v/>
      </c>
    </row>
    <row r="86">
      <c r="A86" s="7" t="n">
        <v>44501</v>
      </c>
      <c r="B86" s="8" t="n">
        <v>10.107692</v>
      </c>
      <c r="C86" s="4">
        <f>(B86-B85)/B85</f>
        <v/>
      </c>
      <c r="D86" s="10">
        <f>C86+1</f>
        <v/>
      </c>
      <c r="E86" s="4">
        <f>LN(B86/B85)</f>
        <v/>
      </c>
    </row>
    <row r="87">
      <c r="A87" s="7" t="n">
        <v>44531</v>
      </c>
      <c r="B87" s="8" t="n">
        <v>10.084615</v>
      </c>
      <c r="C87" s="4">
        <f>(B87-B86)/B86</f>
        <v/>
      </c>
      <c r="D87" s="10">
        <f>C87+1</f>
        <v/>
      </c>
      <c r="E87" s="4">
        <f>LN(B87/B86)</f>
        <v/>
      </c>
    </row>
    <row r="88">
      <c r="A88" s="7" t="n">
        <v>44562</v>
      </c>
      <c r="B88" s="8" t="n">
        <v>10.1</v>
      </c>
      <c r="C88" s="4">
        <f>(B88-B87)/B87</f>
        <v/>
      </c>
      <c r="D88" s="10">
        <f>C88+1</f>
        <v/>
      </c>
      <c r="E88" s="4">
        <f>LN(B88/B87)</f>
        <v/>
      </c>
    </row>
    <row r="89">
      <c r="A89" s="7" t="n">
        <v>44593</v>
      </c>
      <c r="B89" s="8" t="n">
        <v>9.846152999999999</v>
      </c>
      <c r="C89" s="4">
        <f>(B89-B88)/B88</f>
        <v/>
      </c>
      <c r="D89" s="10">
        <f>C89+1</f>
        <v/>
      </c>
      <c r="E89" s="4">
        <f>LN(B89/B88)</f>
        <v/>
      </c>
    </row>
    <row r="90">
      <c r="A90" s="7" t="n">
        <v>44621</v>
      </c>
      <c r="B90" s="8" t="n">
        <v>11.7</v>
      </c>
      <c r="C90" s="4">
        <f>(B90-B89)/B89</f>
        <v/>
      </c>
      <c r="D90" s="10">
        <f>C90+1</f>
        <v/>
      </c>
      <c r="E90" s="4">
        <f>LN(B90/B89)</f>
        <v/>
      </c>
    </row>
    <row r="91">
      <c r="A91" s="7" t="n">
        <v>44652</v>
      </c>
      <c r="B91" s="8" t="n">
        <v>11.284615</v>
      </c>
      <c r="C91" s="4">
        <f>(B91-B90)/B90</f>
        <v/>
      </c>
      <c r="D91" s="10">
        <f>C91+1</f>
        <v/>
      </c>
      <c r="E91" s="4">
        <f>LN(B91/B90)</f>
        <v/>
      </c>
    </row>
    <row r="92">
      <c r="A92" s="7" t="n">
        <v>44682</v>
      </c>
      <c r="B92" s="8" t="n">
        <v>11.65</v>
      </c>
      <c r="C92" s="4">
        <f>(B92-B91)/B91</f>
        <v/>
      </c>
      <c r="D92" s="10">
        <f>C92+1</f>
        <v/>
      </c>
      <c r="E92" s="4">
        <f>LN(B92/B91)</f>
        <v/>
      </c>
    </row>
    <row r="93">
      <c r="A93" s="7" t="n">
        <v>44713</v>
      </c>
      <c r="B93" s="8" t="n">
        <v>10.38</v>
      </c>
      <c r="C93" s="4">
        <f>(B93-B92)/B92</f>
        <v/>
      </c>
      <c r="D93" s="10">
        <f>C93+1</f>
        <v/>
      </c>
      <c r="E93" s="4">
        <f>LN(B93/B92)</f>
        <v/>
      </c>
    </row>
    <row r="94">
      <c r="A94" s="7" t="n">
        <v>44743</v>
      </c>
      <c r="B94" s="8" t="n">
        <v>11.24</v>
      </c>
      <c r="C94" s="4">
        <f>(B94-B93)/B93</f>
        <v/>
      </c>
      <c r="D94" s="10">
        <f>C94+1</f>
        <v/>
      </c>
      <c r="E94" s="4">
        <f>LN(B94/B93)</f>
        <v/>
      </c>
    </row>
    <row r="95">
      <c r="A95" s="7" t="n">
        <v>44774</v>
      </c>
      <c r="B95" s="8" t="n">
        <v>12.1</v>
      </c>
      <c r="C95" s="4">
        <f>(B95-B94)/B94</f>
        <v/>
      </c>
      <c r="D95" s="10">
        <f>C95+1</f>
        <v/>
      </c>
      <c r="E95" s="4">
        <f>LN(B95/B94)</f>
        <v/>
      </c>
    </row>
    <row r="96">
      <c r="A96" s="7" t="n">
        <v>44805</v>
      </c>
      <c r="B96" s="8" t="n">
        <v>10.76</v>
      </c>
      <c r="C96" s="4">
        <f>(B96-B95)/B95</f>
        <v/>
      </c>
      <c r="D96" s="10">
        <f>C96+1</f>
        <v/>
      </c>
      <c r="E96" s="4">
        <f>LN(B96/B95)</f>
        <v/>
      </c>
    </row>
    <row r="97">
      <c r="A97" s="7" t="n">
        <v>44835</v>
      </c>
      <c r="B97" s="8" t="n">
        <v>11.37</v>
      </c>
      <c r="C97" s="4">
        <f>(B97-B96)/B96</f>
        <v/>
      </c>
      <c r="D97" s="10">
        <f>C97+1</f>
        <v/>
      </c>
      <c r="E97" s="4">
        <f>LN(B97/B96)</f>
        <v/>
      </c>
    </row>
    <row r="98">
      <c r="A98" s="7" t="n">
        <v>44866</v>
      </c>
      <c r="B98" s="8" t="n">
        <v>11.48</v>
      </c>
      <c r="C98" s="4">
        <f>(B98-B97)/B97</f>
        <v/>
      </c>
      <c r="D98" s="10">
        <f>C98+1</f>
        <v/>
      </c>
      <c r="E98" s="4">
        <f>LN(B98/B97)</f>
        <v/>
      </c>
    </row>
    <row r="99">
      <c r="A99" s="7" t="n">
        <v>44896</v>
      </c>
      <c r="B99" s="8" t="n">
        <v>11.14</v>
      </c>
      <c r="C99" s="4">
        <f>(B99-B98)/B98</f>
        <v/>
      </c>
      <c r="D99" s="10">
        <f>C99+1</f>
        <v/>
      </c>
      <c r="E99" s="4">
        <f>LN(B99/B98)</f>
        <v/>
      </c>
    </row>
    <row r="100">
      <c r="A100" s="7" t="n">
        <v>44927</v>
      </c>
      <c r="B100" s="8" t="n">
        <v>11.46</v>
      </c>
      <c r="C100" s="4">
        <f>(B100-B99)/B99</f>
        <v/>
      </c>
      <c r="D100" s="10">
        <f>C100+1</f>
        <v/>
      </c>
      <c r="E100" s="4">
        <f>LN(B100/B99)</f>
        <v/>
      </c>
    </row>
  </sheetData>
  <mergeCells count="1">
    <mergeCell ref="K3:S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S40"/>
  <sheetViews>
    <sheetView workbookViewId="0">
      <selection activeCell="A1" sqref="A1"/>
    </sheetView>
  </sheetViews>
  <sheetFormatPr baseColWidth="8" defaultRowHeight="15"/>
  <sheetData>
    <row r="4">
      <c r="A4" s="2" t="inlineStr">
        <is>
          <t>Mes</t>
        </is>
      </c>
      <c r="B4" s="2" t="inlineStr">
        <is>
          <t>Escenario 1</t>
        </is>
      </c>
      <c r="C4" s="2" t="inlineStr">
        <is>
          <t>Escenario 2</t>
        </is>
      </c>
      <c r="D4" s="2" t="inlineStr">
        <is>
          <t>Escenario 3</t>
        </is>
      </c>
      <c r="E4" s="2" t="inlineStr">
        <is>
          <t>Escenario 4</t>
        </is>
      </c>
      <c r="F4" s="2" t="inlineStr">
        <is>
          <t>Escenario 5</t>
        </is>
      </c>
    </row>
    <row r="5">
      <c r="A5" s="12" t="n">
        <v>44958</v>
      </c>
      <c r="B5" s="4">
        <f>_xlfn.NORM.INV(RAND(),'CMIG4 Mensual'!$H$3,'CMIG4 Mensual'!$H$5)</f>
        <v/>
      </c>
      <c r="C5" s="4">
        <f>_xlfn.NORM.INV(RAND(),'CMIG4 Mensual'!$H$3,'CMIG4 Mensual'!$H$5)</f>
        <v/>
      </c>
      <c r="D5" s="4">
        <f>_xlfn.NORM.INV(RAND(),'CMIG4 Mensual'!$H$3,'CMIG4 Mensual'!$H$5)</f>
        <v/>
      </c>
      <c r="E5" s="4">
        <f>_xlfn.NORM.INV(RAND(),'CMIG4 Mensual'!$H$3,'CMIG4 Mensual'!$H$5)</f>
        <v/>
      </c>
      <c r="F5" s="4">
        <f>_xlfn.NORM.INV(RAND(),'CMIG4 Mensual'!$H$3,'CMIG4 Mensual'!$H$5)</f>
        <v/>
      </c>
    </row>
    <row r="6">
      <c r="A6" s="12" t="n">
        <v>44986</v>
      </c>
      <c r="B6" s="4">
        <f>_xlfn.NORM.INV(RAND(),'CMIG4 Mensual'!$H$3,'CMIG4 Mensual'!$H$5)</f>
        <v/>
      </c>
      <c r="C6" s="4">
        <f>_xlfn.NORM.INV(RAND(),'CMIG4 Mensual'!$H$3,'CMIG4 Mensual'!$H$5)</f>
        <v/>
      </c>
      <c r="D6" s="4">
        <f>_xlfn.NORM.INV(RAND(),'CMIG4 Mensual'!$H$3,'CMIG4 Mensual'!$H$5)</f>
        <v/>
      </c>
      <c r="E6" s="4">
        <f>_xlfn.NORM.INV(RAND(),'CMIG4 Mensual'!$H$3,'CMIG4 Mensual'!$H$5)</f>
        <v/>
      </c>
      <c r="F6" s="4">
        <f>_xlfn.NORM.INV(RAND(),'CMIG4 Mensual'!$H$3,'CMIG4 Mensual'!$H$5)</f>
        <v/>
      </c>
    </row>
    <row r="7">
      <c r="A7" s="12" t="n">
        <v>45017</v>
      </c>
      <c r="B7" s="4">
        <f>_xlfn.NORM.INV(RAND(),'CMIG4 Mensual'!$H$3,'CMIG4 Mensual'!$H$5)</f>
        <v/>
      </c>
      <c r="C7" s="4">
        <f>_xlfn.NORM.INV(RAND(),'CMIG4 Mensual'!$H$3,'CMIG4 Mensual'!$H$5)</f>
        <v/>
      </c>
      <c r="D7" s="4">
        <f>_xlfn.NORM.INV(RAND(),'CMIG4 Mensual'!$H$3,'CMIG4 Mensual'!$H$5)</f>
        <v/>
      </c>
      <c r="E7" s="4">
        <f>_xlfn.NORM.INV(RAND(),'CMIG4 Mensual'!$H$3,'CMIG4 Mensual'!$H$5)</f>
        <v/>
      </c>
      <c r="F7" s="4">
        <f>_xlfn.NORM.INV(RAND(),'CMIG4 Mensual'!$H$3,'CMIG4 Mensual'!$H$5)</f>
        <v/>
      </c>
    </row>
    <row r="8">
      <c r="A8" s="12" t="n">
        <v>45047</v>
      </c>
      <c r="B8" s="4">
        <f>_xlfn.NORM.INV(RAND(),'CMIG4 Mensual'!$H$3,'CMIG4 Mensual'!$H$5)</f>
        <v/>
      </c>
      <c r="C8" s="4">
        <f>_xlfn.NORM.INV(RAND(),'CMIG4 Mensual'!$H$3,'CMIG4 Mensual'!$H$5)</f>
        <v/>
      </c>
      <c r="D8" s="4">
        <f>_xlfn.NORM.INV(RAND(),'CMIG4 Mensual'!$H$3,'CMIG4 Mensual'!$H$5)</f>
        <v/>
      </c>
      <c r="E8" s="4">
        <f>_xlfn.NORM.INV(RAND(),'CMIG4 Mensual'!$H$3,'CMIG4 Mensual'!$H$5)</f>
        <v/>
      </c>
      <c r="F8" s="4">
        <f>_xlfn.NORM.INV(RAND(),'CMIG4 Mensual'!$H$3,'CMIG4 Mensual'!$H$5)</f>
        <v/>
      </c>
    </row>
    <row r="9">
      <c r="A9" s="12" t="n">
        <v>45078</v>
      </c>
      <c r="B9" s="4">
        <f>_xlfn.NORM.INV(RAND(),'CMIG4 Mensual'!$H$3,'CMIG4 Mensual'!$H$5)</f>
        <v/>
      </c>
      <c r="C9" s="4">
        <f>_xlfn.NORM.INV(RAND(),'CMIG4 Mensual'!$H$3,'CMIG4 Mensual'!$H$5)</f>
        <v/>
      </c>
      <c r="D9" s="4">
        <f>_xlfn.NORM.INV(RAND(),'CMIG4 Mensual'!$H$3,'CMIG4 Mensual'!$H$5)</f>
        <v/>
      </c>
      <c r="E9" s="4">
        <f>_xlfn.NORM.INV(RAND(),'CMIG4 Mensual'!$H$3,'CMIG4 Mensual'!$H$5)</f>
        <v/>
      </c>
      <c r="F9" s="4">
        <f>_xlfn.NORM.INV(RAND(),'CMIG4 Mensual'!$H$3,'CMIG4 Mensual'!$H$5)</f>
        <v/>
      </c>
    </row>
    <row r="10">
      <c r="A10" s="12" t="n">
        <v>45108</v>
      </c>
      <c r="B10" s="4">
        <f>_xlfn.NORM.INV(RAND(),'CMIG4 Mensual'!$H$3,'CMIG4 Mensual'!$H$5)</f>
        <v/>
      </c>
      <c r="C10" s="4">
        <f>_xlfn.NORM.INV(RAND(),'CMIG4 Mensual'!$H$3,'CMIG4 Mensual'!$H$5)</f>
        <v/>
      </c>
      <c r="D10" s="4">
        <f>_xlfn.NORM.INV(RAND(),'CMIG4 Mensual'!$H$3,'CMIG4 Mensual'!$H$5)</f>
        <v/>
      </c>
      <c r="E10" s="4">
        <f>_xlfn.NORM.INV(RAND(),'CMIG4 Mensual'!$H$3,'CMIG4 Mensual'!$H$5)</f>
        <v/>
      </c>
      <c r="F10" s="4">
        <f>_xlfn.NORM.INV(RAND(),'CMIG4 Mensual'!$H$3,'CMIG4 Mensual'!$H$5)</f>
        <v/>
      </c>
    </row>
    <row r="11">
      <c r="A11" s="12" t="n">
        <v>45139</v>
      </c>
      <c r="B11" s="4">
        <f>_xlfn.NORM.INV(RAND(),'CMIG4 Mensual'!$H$3,'CMIG4 Mensual'!$H$5)</f>
        <v/>
      </c>
      <c r="C11" s="4">
        <f>_xlfn.NORM.INV(RAND(),'CMIG4 Mensual'!$H$3,'CMIG4 Mensual'!$H$5)</f>
        <v/>
      </c>
      <c r="D11" s="4">
        <f>_xlfn.NORM.INV(RAND(),'CMIG4 Mensual'!$H$3,'CMIG4 Mensual'!$H$5)</f>
        <v/>
      </c>
      <c r="E11" s="4">
        <f>_xlfn.NORM.INV(RAND(),'CMIG4 Mensual'!$H$3,'CMIG4 Mensual'!$H$5)</f>
        <v/>
      </c>
      <c r="F11" s="4">
        <f>_xlfn.NORM.INV(RAND(),'CMIG4 Mensual'!$H$3,'CMIG4 Mensual'!$H$5)</f>
        <v/>
      </c>
    </row>
    <row r="12">
      <c r="A12" s="12" t="n">
        <v>45170</v>
      </c>
      <c r="B12" s="4">
        <f>_xlfn.NORM.INV(RAND(),'CMIG4 Mensual'!$H$3,'CMIG4 Mensual'!$H$5)</f>
        <v/>
      </c>
      <c r="C12" s="4">
        <f>_xlfn.NORM.INV(RAND(),'CMIG4 Mensual'!$H$3,'CMIG4 Mensual'!$H$5)</f>
        <v/>
      </c>
      <c r="D12" s="4">
        <f>_xlfn.NORM.INV(RAND(),'CMIG4 Mensual'!$H$3,'CMIG4 Mensual'!$H$5)</f>
        <v/>
      </c>
      <c r="E12" s="4">
        <f>_xlfn.NORM.INV(RAND(),'CMIG4 Mensual'!$H$3,'CMIG4 Mensual'!$H$5)</f>
        <v/>
      </c>
      <c r="F12" s="4">
        <f>_xlfn.NORM.INV(RAND(),'CMIG4 Mensual'!$H$3,'CMIG4 Mensual'!$H$5)</f>
        <v/>
      </c>
    </row>
    <row r="13">
      <c r="A13" s="12" t="n">
        <v>45200</v>
      </c>
      <c r="B13" s="4">
        <f>_xlfn.NORM.INV(RAND(),'CMIG4 Mensual'!$H$3,'CMIG4 Mensual'!$H$5)</f>
        <v/>
      </c>
      <c r="C13" s="4">
        <f>_xlfn.NORM.INV(RAND(),'CMIG4 Mensual'!$H$3,'CMIG4 Mensual'!$H$5)</f>
        <v/>
      </c>
      <c r="D13" s="4">
        <f>_xlfn.NORM.INV(RAND(),'CMIG4 Mensual'!$H$3,'CMIG4 Mensual'!$H$5)</f>
        <v/>
      </c>
      <c r="E13" s="4">
        <f>_xlfn.NORM.INV(RAND(),'CMIG4 Mensual'!$H$3,'CMIG4 Mensual'!$H$5)</f>
        <v/>
      </c>
      <c r="F13" s="4">
        <f>_xlfn.NORM.INV(RAND(),'CMIG4 Mensual'!$H$3,'CMIG4 Mensual'!$H$5)</f>
        <v/>
      </c>
    </row>
    <row r="14">
      <c r="A14" s="12" t="n">
        <v>45231</v>
      </c>
      <c r="B14" s="4">
        <f>_xlfn.NORM.INV(RAND(),'CMIG4 Mensual'!$H$3,'CMIG4 Mensual'!$H$5)</f>
        <v/>
      </c>
      <c r="C14" s="4">
        <f>_xlfn.NORM.INV(RAND(),'CMIG4 Mensual'!$H$3,'CMIG4 Mensual'!$H$5)</f>
        <v/>
      </c>
      <c r="D14" s="4">
        <f>_xlfn.NORM.INV(RAND(),'CMIG4 Mensual'!$H$3,'CMIG4 Mensual'!$H$5)</f>
        <v/>
      </c>
      <c r="E14" s="4">
        <f>_xlfn.NORM.INV(RAND(),'CMIG4 Mensual'!$H$3,'CMIG4 Mensual'!$H$5)</f>
        <v/>
      </c>
      <c r="F14" s="4">
        <f>_xlfn.NORM.INV(RAND(),'CMIG4 Mensual'!$H$3,'CMIG4 Mensual'!$H$5)</f>
        <v/>
      </c>
    </row>
    <row r="15">
      <c r="A15" s="12" t="n">
        <v>45261</v>
      </c>
      <c r="B15" s="4">
        <f>_xlfn.NORM.INV(RAND(),'CMIG4 Mensual'!$H$3,'CMIG4 Mensual'!$H$5)</f>
        <v/>
      </c>
      <c r="C15" s="4">
        <f>_xlfn.NORM.INV(RAND(),'CMIG4 Mensual'!$H$3,'CMIG4 Mensual'!$H$5)</f>
        <v/>
      </c>
      <c r="D15" s="4">
        <f>_xlfn.NORM.INV(RAND(),'CMIG4 Mensual'!$H$3,'CMIG4 Mensual'!$H$5)</f>
        <v/>
      </c>
      <c r="E15" s="4">
        <f>_xlfn.NORM.INV(RAND(),'CMIG4 Mensual'!$H$3,'CMIG4 Mensual'!$H$5)</f>
        <v/>
      </c>
      <c r="F15" s="4">
        <f>_xlfn.NORM.INV(RAND(),'CMIG4 Mensual'!$H$3,'CMIG4 Mensual'!$H$5)</f>
        <v/>
      </c>
    </row>
    <row r="16">
      <c r="A16" s="12" t="n">
        <v>45292</v>
      </c>
      <c r="B16" s="4">
        <f>_xlfn.NORM.INV(RAND(),'CMIG4 Mensual'!$H$3,'CMIG4 Mensual'!$H$5)</f>
        <v/>
      </c>
      <c r="C16" s="4">
        <f>_xlfn.NORM.INV(RAND(),'CMIG4 Mensual'!$H$3,'CMIG4 Mensual'!$H$5)</f>
        <v/>
      </c>
      <c r="D16" s="4">
        <f>_xlfn.NORM.INV(RAND(),'CMIG4 Mensual'!$H$3,'CMIG4 Mensual'!$H$5)</f>
        <v/>
      </c>
      <c r="E16" s="4">
        <f>_xlfn.NORM.INV(RAND(),'CMIG4 Mensual'!$H$3,'CMIG4 Mensual'!$H$5)</f>
        <v/>
      </c>
      <c r="F16" s="4">
        <f>_xlfn.NORM.INV(RAND(),'CMIG4 Mensual'!$H$3,'CMIG4 Mensual'!$H$5)</f>
        <v/>
      </c>
    </row>
    <row r="17">
      <c r="A17" s="12" t="n">
        <v>45323</v>
      </c>
      <c r="B17" s="4">
        <f>_xlfn.NORM.INV(RAND(),'CMIG4 Mensual'!$H$3,'CMIG4 Mensual'!$H$5)</f>
        <v/>
      </c>
      <c r="C17" s="4">
        <f>_xlfn.NORM.INV(RAND(),'CMIG4 Mensual'!$H$3,'CMIG4 Mensual'!$H$5)</f>
        <v/>
      </c>
      <c r="D17" s="4">
        <f>_xlfn.NORM.INV(RAND(),'CMIG4 Mensual'!$H$3,'CMIG4 Mensual'!$H$5)</f>
        <v/>
      </c>
      <c r="E17" s="4">
        <f>_xlfn.NORM.INV(RAND(),'CMIG4 Mensual'!$H$3,'CMIG4 Mensual'!$H$5)</f>
        <v/>
      </c>
      <c r="F17" s="4">
        <f>_xlfn.NORM.INV(RAND(),'CMIG4 Mensual'!$H$3,'CMIG4 Mensual'!$H$5)</f>
        <v/>
      </c>
    </row>
    <row r="18">
      <c r="A18" s="12" t="n">
        <v>45352</v>
      </c>
      <c r="B18" s="4">
        <f>_xlfn.NORM.INV(RAND(),'CMIG4 Mensual'!$H$3,'CMIG4 Mensual'!$H$5)</f>
        <v/>
      </c>
      <c r="C18" s="4">
        <f>_xlfn.NORM.INV(RAND(),'CMIG4 Mensual'!$H$3,'CMIG4 Mensual'!$H$5)</f>
        <v/>
      </c>
      <c r="D18" s="4">
        <f>_xlfn.NORM.INV(RAND(),'CMIG4 Mensual'!$H$3,'CMIG4 Mensual'!$H$5)</f>
        <v/>
      </c>
      <c r="E18" s="4">
        <f>_xlfn.NORM.INV(RAND(),'CMIG4 Mensual'!$H$3,'CMIG4 Mensual'!$H$5)</f>
        <v/>
      </c>
      <c r="F18" s="4">
        <f>_xlfn.NORM.INV(RAND(),'CMIG4 Mensual'!$H$3,'CMIG4 Mensual'!$H$5)</f>
        <v/>
      </c>
    </row>
    <row r="19">
      <c r="A19" s="12" t="n">
        <v>45383</v>
      </c>
      <c r="B19" s="4">
        <f>_xlfn.NORM.INV(RAND(),'CMIG4 Mensual'!$H$3,'CMIG4 Mensual'!$H$5)</f>
        <v/>
      </c>
      <c r="C19" s="4">
        <f>_xlfn.NORM.INV(RAND(),'CMIG4 Mensual'!$H$3,'CMIG4 Mensual'!$H$5)</f>
        <v/>
      </c>
      <c r="D19" s="4">
        <f>_xlfn.NORM.INV(RAND(),'CMIG4 Mensual'!$H$3,'CMIG4 Mensual'!$H$5)</f>
        <v/>
      </c>
      <c r="E19" s="4">
        <f>_xlfn.NORM.INV(RAND(),'CMIG4 Mensual'!$H$3,'CMIG4 Mensual'!$H$5)</f>
        <v/>
      </c>
      <c r="F19" s="4">
        <f>_xlfn.NORM.INV(RAND(),'CMIG4 Mensual'!$H$3,'CMIG4 Mensual'!$H$5)</f>
        <v/>
      </c>
    </row>
    <row r="20">
      <c r="A20" s="12" t="n">
        <v>45413</v>
      </c>
      <c r="B20" s="4">
        <f>_xlfn.NORM.INV(RAND(),'CMIG4 Mensual'!$H$3,'CMIG4 Mensual'!$H$5)</f>
        <v/>
      </c>
      <c r="C20" s="4">
        <f>_xlfn.NORM.INV(RAND(),'CMIG4 Mensual'!$H$3,'CMIG4 Mensual'!$H$5)</f>
        <v/>
      </c>
      <c r="D20" s="4">
        <f>_xlfn.NORM.INV(RAND(),'CMIG4 Mensual'!$H$3,'CMIG4 Mensual'!$H$5)</f>
        <v/>
      </c>
      <c r="E20" s="4">
        <f>_xlfn.NORM.INV(RAND(),'CMIG4 Mensual'!$H$3,'CMIG4 Mensual'!$H$5)</f>
        <v/>
      </c>
      <c r="F20" s="4">
        <f>_xlfn.NORM.INV(RAND(),'CMIG4 Mensual'!$H$3,'CMIG4 Mensual'!$H$5)</f>
        <v/>
      </c>
    </row>
    <row r="21">
      <c r="A21" s="12" t="n">
        <v>45444</v>
      </c>
      <c r="B21" s="4">
        <f>_xlfn.NORM.INV(RAND(),'CMIG4 Mensual'!$H$3,'CMIG4 Mensual'!$H$5)</f>
        <v/>
      </c>
      <c r="C21" s="4">
        <f>_xlfn.NORM.INV(RAND(),'CMIG4 Mensual'!$H$3,'CMIG4 Mensual'!$H$5)</f>
        <v/>
      </c>
      <c r="D21" s="4">
        <f>_xlfn.NORM.INV(RAND(),'CMIG4 Mensual'!$H$3,'CMIG4 Mensual'!$H$5)</f>
        <v/>
      </c>
      <c r="E21" s="4">
        <f>_xlfn.NORM.INV(RAND(),'CMIG4 Mensual'!$H$3,'CMIG4 Mensual'!$H$5)</f>
        <v/>
      </c>
      <c r="F21" s="4">
        <f>_xlfn.NORM.INV(RAND(),'CMIG4 Mensual'!$H$3,'CMIG4 Mensual'!$H$5)</f>
        <v/>
      </c>
    </row>
    <row r="22">
      <c r="A22" s="12" t="n">
        <v>45474</v>
      </c>
      <c r="B22" s="4">
        <f>_xlfn.NORM.INV(RAND(),'CMIG4 Mensual'!$H$3,'CMIG4 Mensual'!$H$5)</f>
        <v/>
      </c>
      <c r="C22" s="4">
        <f>_xlfn.NORM.INV(RAND(),'CMIG4 Mensual'!$H$3,'CMIG4 Mensual'!$H$5)</f>
        <v/>
      </c>
      <c r="D22" s="4">
        <f>_xlfn.NORM.INV(RAND(),'CMIG4 Mensual'!$H$3,'CMIG4 Mensual'!$H$5)</f>
        <v/>
      </c>
      <c r="E22" s="4">
        <f>_xlfn.NORM.INV(RAND(),'CMIG4 Mensual'!$H$3,'CMIG4 Mensual'!$H$5)</f>
        <v/>
      </c>
      <c r="F22" s="4">
        <f>_xlfn.NORM.INV(RAND(),'CMIG4 Mensual'!$H$3,'CMIG4 Mensual'!$H$5)</f>
        <v/>
      </c>
    </row>
    <row r="23">
      <c r="A23" s="12" t="n">
        <v>45505</v>
      </c>
      <c r="B23" s="4">
        <f>_xlfn.NORM.INV(RAND(),'CMIG4 Mensual'!$H$3,'CMIG4 Mensual'!$H$5)</f>
        <v/>
      </c>
      <c r="C23" s="4">
        <f>_xlfn.NORM.INV(RAND(),'CMIG4 Mensual'!$H$3,'CMIG4 Mensual'!$H$5)</f>
        <v/>
      </c>
      <c r="D23" s="4">
        <f>_xlfn.NORM.INV(RAND(),'CMIG4 Mensual'!$H$3,'CMIG4 Mensual'!$H$5)</f>
        <v/>
      </c>
      <c r="E23" s="4">
        <f>_xlfn.NORM.INV(RAND(),'CMIG4 Mensual'!$H$3,'CMIG4 Mensual'!$H$5)</f>
        <v/>
      </c>
      <c r="F23" s="4">
        <f>_xlfn.NORM.INV(RAND(),'CMIG4 Mensual'!$H$3,'CMIG4 Mensual'!$H$5)</f>
        <v/>
      </c>
    </row>
    <row r="24">
      <c r="A24" s="12" t="n">
        <v>45536</v>
      </c>
      <c r="B24" s="4">
        <f>_xlfn.NORM.INV(RAND(),'CMIG4 Mensual'!$H$3,'CMIG4 Mensual'!$H$5)</f>
        <v/>
      </c>
      <c r="C24" s="4">
        <f>_xlfn.NORM.INV(RAND(),'CMIG4 Mensual'!$H$3,'CMIG4 Mensual'!$H$5)</f>
        <v/>
      </c>
      <c r="D24" s="4">
        <f>_xlfn.NORM.INV(RAND(),'CMIG4 Mensual'!$H$3,'CMIG4 Mensual'!$H$5)</f>
        <v/>
      </c>
      <c r="E24" s="4">
        <f>_xlfn.NORM.INV(RAND(),'CMIG4 Mensual'!$H$3,'CMIG4 Mensual'!$H$5)</f>
        <v/>
      </c>
      <c r="F24" s="4">
        <f>_xlfn.NORM.INV(RAND(),'CMIG4 Mensual'!$H$3,'CMIG4 Mensual'!$H$5)</f>
        <v/>
      </c>
    </row>
    <row r="25">
      <c r="A25" s="12" t="n">
        <v>45566</v>
      </c>
      <c r="B25" s="4">
        <f>_xlfn.NORM.INV(RAND(),'CMIG4 Mensual'!$H$3,'CMIG4 Mensual'!$H$5)</f>
        <v/>
      </c>
      <c r="C25" s="4">
        <f>_xlfn.NORM.INV(RAND(),'CMIG4 Mensual'!$H$3,'CMIG4 Mensual'!$H$5)</f>
        <v/>
      </c>
      <c r="D25" s="4">
        <f>_xlfn.NORM.INV(RAND(),'CMIG4 Mensual'!$H$3,'CMIG4 Mensual'!$H$5)</f>
        <v/>
      </c>
      <c r="E25" s="4">
        <f>_xlfn.NORM.INV(RAND(),'CMIG4 Mensual'!$H$3,'CMIG4 Mensual'!$H$5)</f>
        <v/>
      </c>
      <c r="F25" s="4">
        <f>_xlfn.NORM.INV(RAND(),'CMIG4 Mensual'!$H$3,'CMIG4 Mensual'!$H$5)</f>
        <v/>
      </c>
    </row>
    <row r="26">
      <c r="A26" s="12" t="n">
        <v>45597</v>
      </c>
      <c r="B26" s="4">
        <f>_xlfn.NORM.INV(RAND(),'CMIG4 Mensual'!$H$3,'CMIG4 Mensual'!$H$5)</f>
        <v/>
      </c>
      <c r="C26" s="4">
        <f>_xlfn.NORM.INV(RAND(),'CMIG4 Mensual'!$H$3,'CMIG4 Mensual'!$H$5)</f>
        <v/>
      </c>
      <c r="D26" s="4">
        <f>_xlfn.NORM.INV(RAND(),'CMIG4 Mensual'!$H$3,'CMIG4 Mensual'!$H$5)</f>
        <v/>
      </c>
      <c r="E26" s="4">
        <f>_xlfn.NORM.INV(RAND(),'CMIG4 Mensual'!$H$3,'CMIG4 Mensual'!$H$5)</f>
        <v/>
      </c>
      <c r="F26" s="4">
        <f>_xlfn.NORM.INV(RAND(),'CMIG4 Mensual'!$H$3,'CMIG4 Mensual'!$H$5)</f>
        <v/>
      </c>
      <c r="H26" s="3" t="inlineStr">
        <is>
          <t>Se simularon 5 escenarios de retornos mensuales para 36 meses (feb-2023 a ene-2026). Cada retorno se sortea de forma independiente desde una Normal con media 1,17% y desviación estándar 12,56%, los parámetros históricos mensuales de CMIG4. Como todos parten de los mismos supuestos pero usan números aleatorios distintos, las trayectorias se separan, con meses de alzas fuertes y de caídas, sin un patrón que se repita. Esto refleja la hipótesis de paseo aleatorio: el retorno de un mes no depende del anterior y el pasado no permite predecir el futuro. El gráfico muestra el abanico de resultados posibles, no una predicción. Los valores cambian cada vez que Excel recalcula (F9), porque usan ALEATORIO().</t>
        </is>
      </c>
    </row>
    <row r="27">
      <c r="A27" s="12" t="n">
        <v>45627</v>
      </c>
      <c r="B27" s="4">
        <f>_xlfn.NORM.INV(RAND(),'CMIG4 Mensual'!$H$3,'CMIG4 Mensual'!$H$5)</f>
        <v/>
      </c>
      <c r="C27" s="4">
        <f>_xlfn.NORM.INV(RAND(),'CMIG4 Mensual'!$H$3,'CMIG4 Mensual'!$H$5)</f>
        <v/>
      </c>
      <c r="D27" s="4">
        <f>_xlfn.NORM.INV(RAND(),'CMIG4 Mensual'!$H$3,'CMIG4 Mensual'!$H$5)</f>
        <v/>
      </c>
      <c r="E27" s="4">
        <f>_xlfn.NORM.INV(RAND(),'CMIG4 Mensual'!$H$3,'CMIG4 Mensual'!$H$5)</f>
        <v/>
      </c>
      <c r="F27" s="4">
        <f>_xlfn.NORM.INV(RAND(),'CMIG4 Mensual'!$H$3,'CMIG4 Mensual'!$H$5)</f>
        <v/>
      </c>
    </row>
    <row r="28">
      <c r="A28" s="12" t="n">
        <v>45658</v>
      </c>
      <c r="B28" s="4">
        <f>_xlfn.NORM.INV(RAND(),'CMIG4 Mensual'!$H$3,'CMIG4 Mensual'!$H$5)</f>
        <v/>
      </c>
      <c r="C28" s="4">
        <f>_xlfn.NORM.INV(RAND(),'CMIG4 Mensual'!$H$3,'CMIG4 Mensual'!$H$5)</f>
        <v/>
      </c>
      <c r="D28" s="4">
        <f>_xlfn.NORM.INV(RAND(),'CMIG4 Mensual'!$H$3,'CMIG4 Mensual'!$H$5)</f>
        <v/>
      </c>
      <c r="E28" s="4">
        <f>_xlfn.NORM.INV(RAND(),'CMIG4 Mensual'!$H$3,'CMIG4 Mensual'!$H$5)</f>
        <v/>
      </c>
      <c r="F28" s="4">
        <f>_xlfn.NORM.INV(RAND(),'CMIG4 Mensual'!$H$3,'CMIG4 Mensual'!$H$5)</f>
        <v/>
      </c>
    </row>
    <row r="29">
      <c r="A29" s="12" t="n">
        <v>45689</v>
      </c>
      <c r="B29" s="4">
        <f>_xlfn.NORM.INV(RAND(),'CMIG4 Mensual'!$H$3,'CMIG4 Mensual'!$H$5)</f>
        <v/>
      </c>
      <c r="C29" s="4">
        <f>_xlfn.NORM.INV(RAND(),'CMIG4 Mensual'!$H$3,'CMIG4 Mensual'!$H$5)</f>
        <v/>
      </c>
      <c r="D29" s="4">
        <f>_xlfn.NORM.INV(RAND(),'CMIG4 Mensual'!$H$3,'CMIG4 Mensual'!$H$5)</f>
        <v/>
      </c>
      <c r="E29" s="4">
        <f>_xlfn.NORM.INV(RAND(),'CMIG4 Mensual'!$H$3,'CMIG4 Mensual'!$H$5)</f>
        <v/>
      </c>
      <c r="F29" s="4">
        <f>_xlfn.NORM.INV(RAND(),'CMIG4 Mensual'!$H$3,'CMIG4 Mensual'!$H$5)</f>
        <v/>
      </c>
    </row>
    <row r="30">
      <c r="A30" s="12" t="n">
        <v>45717</v>
      </c>
      <c r="B30" s="4">
        <f>_xlfn.NORM.INV(RAND(),'CMIG4 Mensual'!$H$3,'CMIG4 Mensual'!$H$5)</f>
        <v/>
      </c>
      <c r="C30" s="4">
        <f>_xlfn.NORM.INV(RAND(),'CMIG4 Mensual'!$H$3,'CMIG4 Mensual'!$H$5)</f>
        <v/>
      </c>
      <c r="D30" s="4">
        <f>_xlfn.NORM.INV(RAND(),'CMIG4 Mensual'!$H$3,'CMIG4 Mensual'!$H$5)</f>
        <v/>
      </c>
      <c r="E30" s="4">
        <f>_xlfn.NORM.INV(RAND(),'CMIG4 Mensual'!$H$3,'CMIG4 Mensual'!$H$5)</f>
        <v/>
      </c>
      <c r="F30" s="4">
        <f>_xlfn.NORM.INV(RAND(),'CMIG4 Mensual'!$H$3,'CMIG4 Mensual'!$H$5)</f>
        <v/>
      </c>
    </row>
    <row r="31">
      <c r="A31" s="12" t="n">
        <v>45748</v>
      </c>
      <c r="B31" s="4">
        <f>_xlfn.NORM.INV(RAND(),'CMIG4 Mensual'!$H$3,'CMIG4 Mensual'!$H$5)</f>
        <v/>
      </c>
      <c r="C31" s="4">
        <f>_xlfn.NORM.INV(RAND(),'CMIG4 Mensual'!$H$3,'CMIG4 Mensual'!$H$5)</f>
        <v/>
      </c>
      <c r="D31" s="4">
        <f>_xlfn.NORM.INV(RAND(),'CMIG4 Mensual'!$H$3,'CMIG4 Mensual'!$H$5)</f>
        <v/>
      </c>
      <c r="E31" s="4">
        <f>_xlfn.NORM.INV(RAND(),'CMIG4 Mensual'!$H$3,'CMIG4 Mensual'!$H$5)</f>
        <v/>
      </c>
      <c r="F31" s="4">
        <f>_xlfn.NORM.INV(RAND(),'CMIG4 Mensual'!$H$3,'CMIG4 Mensual'!$H$5)</f>
        <v/>
      </c>
    </row>
    <row r="32">
      <c r="A32" s="12" t="n">
        <v>45778</v>
      </c>
      <c r="B32" s="4">
        <f>_xlfn.NORM.INV(RAND(),'CMIG4 Mensual'!$H$3,'CMIG4 Mensual'!$H$5)</f>
        <v/>
      </c>
      <c r="C32" s="4">
        <f>_xlfn.NORM.INV(RAND(),'CMIG4 Mensual'!$H$3,'CMIG4 Mensual'!$H$5)</f>
        <v/>
      </c>
      <c r="D32" s="4">
        <f>_xlfn.NORM.INV(RAND(),'CMIG4 Mensual'!$H$3,'CMIG4 Mensual'!$H$5)</f>
        <v/>
      </c>
      <c r="E32" s="4">
        <f>_xlfn.NORM.INV(RAND(),'CMIG4 Mensual'!$H$3,'CMIG4 Mensual'!$H$5)</f>
        <v/>
      </c>
      <c r="F32" s="4">
        <f>_xlfn.NORM.INV(RAND(),'CMIG4 Mensual'!$H$3,'CMIG4 Mensual'!$H$5)</f>
        <v/>
      </c>
    </row>
    <row r="33">
      <c r="A33" s="12" t="n">
        <v>45809</v>
      </c>
      <c r="B33" s="4">
        <f>_xlfn.NORM.INV(RAND(),'CMIG4 Mensual'!$H$3,'CMIG4 Mensual'!$H$5)</f>
        <v/>
      </c>
      <c r="C33" s="4">
        <f>_xlfn.NORM.INV(RAND(),'CMIG4 Mensual'!$H$3,'CMIG4 Mensual'!$H$5)</f>
        <v/>
      </c>
      <c r="D33" s="4">
        <f>_xlfn.NORM.INV(RAND(),'CMIG4 Mensual'!$H$3,'CMIG4 Mensual'!$H$5)</f>
        <v/>
      </c>
      <c r="E33" s="4">
        <f>_xlfn.NORM.INV(RAND(),'CMIG4 Mensual'!$H$3,'CMIG4 Mensual'!$H$5)</f>
        <v/>
      </c>
      <c r="F33" s="4">
        <f>_xlfn.NORM.INV(RAND(),'CMIG4 Mensual'!$H$3,'CMIG4 Mensual'!$H$5)</f>
        <v/>
      </c>
    </row>
    <row r="34">
      <c r="A34" s="12" t="n">
        <v>45839</v>
      </c>
      <c r="B34" s="4">
        <f>_xlfn.NORM.INV(RAND(),'CMIG4 Mensual'!$H$3,'CMIG4 Mensual'!$H$5)</f>
        <v/>
      </c>
      <c r="C34" s="4">
        <f>_xlfn.NORM.INV(RAND(),'CMIG4 Mensual'!$H$3,'CMIG4 Mensual'!$H$5)</f>
        <v/>
      </c>
      <c r="D34" s="4">
        <f>_xlfn.NORM.INV(RAND(),'CMIG4 Mensual'!$H$3,'CMIG4 Mensual'!$H$5)</f>
        <v/>
      </c>
      <c r="E34" s="4">
        <f>_xlfn.NORM.INV(RAND(),'CMIG4 Mensual'!$H$3,'CMIG4 Mensual'!$H$5)</f>
        <v/>
      </c>
      <c r="F34" s="4">
        <f>_xlfn.NORM.INV(RAND(),'CMIG4 Mensual'!$H$3,'CMIG4 Mensual'!$H$5)</f>
        <v/>
      </c>
    </row>
    <row r="35">
      <c r="A35" s="12" t="n">
        <v>45870</v>
      </c>
      <c r="B35" s="4">
        <f>_xlfn.NORM.INV(RAND(),'CMIG4 Mensual'!$H$3,'CMIG4 Mensual'!$H$5)</f>
        <v/>
      </c>
      <c r="C35" s="4">
        <f>_xlfn.NORM.INV(RAND(),'CMIG4 Mensual'!$H$3,'CMIG4 Mensual'!$H$5)</f>
        <v/>
      </c>
      <c r="D35" s="4">
        <f>_xlfn.NORM.INV(RAND(),'CMIG4 Mensual'!$H$3,'CMIG4 Mensual'!$H$5)</f>
        <v/>
      </c>
      <c r="E35" s="4">
        <f>_xlfn.NORM.INV(RAND(),'CMIG4 Mensual'!$H$3,'CMIG4 Mensual'!$H$5)</f>
        <v/>
      </c>
      <c r="F35" s="4">
        <f>_xlfn.NORM.INV(RAND(),'CMIG4 Mensual'!$H$3,'CMIG4 Mensual'!$H$5)</f>
        <v/>
      </c>
    </row>
    <row r="36">
      <c r="A36" s="12" t="n">
        <v>45901</v>
      </c>
      <c r="B36" s="4">
        <f>_xlfn.NORM.INV(RAND(),'CMIG4 Mensual'!$H$3,'CMIG4 Mensual'!$H$5)</f>
        <v/>
      </c>
      <c r="C36" s="4">
        <f>_xlfn.NORM.INV(RAND(),'CMIG4 Mensual'!$H$3,'CMIG4 Mensual'!$H$5)</f>
        <v/>
      </c>
      <c r="D36" s="4">
        <f>_xlfn.NORM.INV(RAND(),'CMIG4 Mensual'!$H$3,'CMIG4 Mensual'!$H$5)</f>
        <v/>
      </c>
      <c r="E36" s="4">
        <f>_xlfn.NORM.INV(RAND(),'CMIG4 Mensual'!$H$3,'CMIG4 Mensual'!$H$5)</f>
        <v/>
      </c>
      <c r="F36" s="4">
        <f>_xlfn.NORM.INV(RAND(),'CMIG4 Mensual'!$H$3,'CMIG4 Mensual'!$H$5)</f>
        <v/>
      </c>
    </row>
    <row r="37">
      <c r="A37" s="12" t="n">
        <v>45931</v>
      </c>
      <c r="B37" s="4">
        <f>_xlfn.NORM.INV(RAND(),'CMIG4 Mensual'!$H$3,'CMIG4 Mensual'!$H$5)</f>
        <v/>
      </c>
      <c r="C37" s="4">
        <f>_xlfn.NORM.INV(RAND(),'CMIG4 Mensual'!$H$3,'CMIG4 Mensual'!$H$5)</f>
        <v/>
      </c>
      <c r="D37" s="4">
        <f>_xlfn.NORM.INV(RAND(),'CMIG4 Mensual'!$H$3,'CMIG4 Mensual'!$H$5)</f>
        <v/>
      </c>
      <c r="E37" s="4">
        <f>_xlfn.NORM.INV(RAND(),'CMIG4 Mensual'!$H$3,'CMIG4 Mensual'!$H$5)</f>
        <v/>
      </c>
      <c r="F37" s="4">
        <f>_xlfn.NORM.INV(RAND(),'CMIG4 Mensual'!$H$3,'CMIG4 Mensual'!$H$5)</f>
        <v/>
      </c>
    </row>
    <row r="38">
      <c r="A38" s="12" t="n">
        <v>45962</v>
      </c>
      <c r="B38" s="4">
        <f>_xlfn.NORM.INV(RAND(),'CMIG4 Mensual'!$H$3,'CMIG4 Mensual'!$H$5)</f>
        <v/>
      </c>
      <c r="C38" s="4">
        <f>_xlfn.NORM.INV(RAND(),'CMIG4 Mensual'!$H$3,'CMIG4 Mensual'!$H$5)</f>
        <v/>
      </c>
      <c r="D38" s="4">
        <f>_xlfn.NORM.INV(RAND(),'CMIG4 Mensual'!$H$3,'CMIG4 Mensual'!$H$5)</f>
        <v/>
      </c>
      <c r="E38" s="4">
        <f>_xlfn.NORM.INV(RAND(),'CMIG4 Mensual'!$H$3,'CMIG4 Mensual'!$H$5)</f>
        <v/>
      </c>
      <c r="F38" s="4">
        <f>_xlfn.NORM.INV(RAND(),'CMIG4 Mensual'!$H$3,'CMIG4 Mensual'!$H$5)</f>
        <v/>
      </c>
    </row>
    <row r="39">
      <c r="A39" s="12" t="n">
        <v>45992</v>
      </c>
      <c r="B39" s="4">
        <f>_xlfn.NORM.INV(RAND(),'CMIG4 Mensual'!$H$3,'CMIG4 Mensual'!$H$5)</f>
        <v/>
      </c>
      <c r="C39" s="4">
        <f>_xlfn.NORM.INV(RAND(),'CMIG4 Mensual'!$H$3,'CMIG4 Mensual'!$H$5)</f>
        <v/>
      </c>
      <c r="D39" s="4">
        <f>_xlfn.NORM.INV(RAND(),'CMIG4 Mensual'!$H$3,'CMIG4 Mensual'!$H$5)</f>
        <v/>
      </c>
      <c r="E39" s="4">
        <f>_xlfn.NORM.INV(RAND(),'CMIG4 Mensual'!$H$3,'CMIG4 Mensual'!$H$5)</f>
        <v/>
      </c>
      <c r="F39" s="4">
        <f>_xlfn.NORM.INV(RAND(),'CMIG4 Mensual'!$H$3,'CMIG4 Mensual'!$H$5)</f>
        <v/>
      </c>
    </row>
    <row r="40">
      <c r="A40" s="12" t="n">
        <v>46023</v>
      </c>
      <c r="B40" s="4">
        <f>_xlfn.NORM.INV(RAND(),'CMIG4 Mensual'!$H$3,'CMIG4 Mensual'!$H$5)</f>
        <v/>
      </c>
      <c r="C40" s="4">
        <f>_xlfn.NORM.INV(RAND(),'CMIG4 Mensual'!$H$3,'CMIG4 Mensual'!$H$5)</f>
        <v/>
      </c>
      <c r="D40" s="4">
        <f>_xlfn.NORM.INV(RAND(),'CMIG4 Mensual'!$H$3,'CMIG4 Mensual'!$H$5)</f>
        <v/>
      </c>
      <c r="E40" s="4">
        <f>_xlfn.NORM.INV(RAND(),'CMIG4 Mensual'!$H$3,'CMIG4 Mensual'!$H$5)</f>
        <v/>
      </c>
      <c r="F40" s="4">
        <f>_xlfn.NORM.INV(RAND(),'CMIG4 Mensual'!$H$3,'CMIG4 Mensual'!$H$5)</f>
        <v/>
      </c>
    </row>
  </sheetData>
  <mergeCells count="1">
    <mergeCell ref="H26:S3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selection activeCell="A1" sqref="A1"/>
    </sheetView>
  </sheetViews>
  <sheetFormatPr baseColWidth="8" defaultRowHeight="15"/>
  <cols>
    <col width="28" customWidth="1" min="2" max="2"/>
    <col width="15" customWidth="1" min="3" max="3"/>
    <col width="15" customWidth="1" min="4" max="4"/>
    <col width="22" customWidth="1" min="5" max="5"/>
  </cols>
  <sheetData>
    <row r="2">
      <c r="C2" s="2" t="inlineStr">
        <is>
          <t>Retorno real</t>
        </is>
      </c>
      <c r="D2" s="2" t="inlineStr">
        <is>
          <t>Retorno real ln</t>
        </is>
      </c>
      <c r="G2" s="3" t="inlineStr">
        <is>
          <t>Retornos anuales 2015-2022 (8 años; 2015 con 11 meses y 2023 excluido por estar incompleto). Retorno esperado anual: 11,40% en base simple y 4,70% en base ln. Riesgo anual: desviación estándar de 42,44% (simple) y 37,70% (ln), con varianzas de 0,1801 y 0,1421. Hubo años de +101,7% (2018) y de −48,5% (2015). Error estándar: 15,00% (simple) y 13,33% (ln), alto porque el promedio se estima con solo 8 años. Intervalo de confianza al 95%: de −18,01% a 40,81% (simple) y de −21,42% a 30,82% (ln). Como incluye el 0, no se puede afirmar con 95% de confianza que el retorno esperado anual de CMIG4 sea positivo. Con 8 observaciones, usar la t de Student (2,36) en vez de 1,96 daría un intervalo aún más ancho. Además, la desviación estándar mensual × √12 ≈ 43,5% es cercana a la anual (42,4%), coherente con retornos independientes.</t>
        </is>
      </c>
    </row>
    <row r="3">
      <c r="B3" t="n">
        <v>2015</v>
      </c>
      <c r="C3" s="4">
        <f>PRODUCT('CMIG4 Mensual'!D5:D15)-1</f>
        <v/>
      </c>
      <c r="D3" s="4">
        <f>SUM('CMIG4 Mensual'!E5:E15)</f>
        <v/>
      </c>
    </row>
    <row r="4">
      <c r="B4" t="n">
        <v>2016</v>
      </c>
      <c r="C4" s="4">
        <f>PRODUCT('CMIG4 Mensual'!D16:D27)-1</f>
        <v/>
      </c>
      <c r="D4" s="4">
        <f>SUM('CMIG4 Mensual'!E16:E27)</f>
        <v/>
      </c>
    </row>
    <row r="5">
      <c r="B5" t="n">
        <v>2017</v>
      </c>
      <c r="C5" s="4">
        <f>PRODUCT('CMIG4 Mensual'!D28:D39)-1</f>
        <v/>
      </c>
      <c r="D5" s="4">
        <f>SUM('CMIG4 Mensual'!E28:E39)</f>
        <v/>
      </c>
    </row>
    <row r="6">
      <c r="B6" t="n">
        <v>2018</v>
      </c>
      <c r="C6" s="4">
        <f>PRODUCT('CMIG4 Mensual'!D40:D51)-1</f>
        <v/>
      </c>
      <c r="D6" s="4">
        <f>SUM('CMIG4 Mensual'!E40:E51)</f>
        <v/>
      </c>
    </row>
    <row r="7">
      <c r="B7" t="n">
        <v>2019</v>
      </c>
      <c r="C7" s="4">
        <f>PRODUCT('CMIG4 Mensual'!D52:D63)-1</f>
        <v/>
      </c>
      <c r="D7" s="4">
        <f>SUM('CMIG4 Mensual'!E52:E63)</f>
        <v/>
      </c>
    </row>
    <row r="8">
      <c r="B8" t="n">
        <v>2020</v>
      </c>
      <c r="C8" s="4">
        <f>PRODUCT('CMIG4 Mensual'!D64:D75)-1</f>
        <v/>
      </c>
      <c r="D8" s="4">
        <f>SUM('CMIG4 Mensual'!E64:E75)</f>
        <v/>
      </c>
    </row>
    <row r="9">
      <c r="B9" t="n">
        <v>2021</v>
      </c>
      <c r="C9" s="4">
        <f>PRODUCT('CMIG4 Mensual'!D76:D87)-1</f>
        <v/>
      </c>
      <c r="D9" s="4">
        <f>SUM('CMIG4 Mensual'!E76:E87)</f>
        <v/>
      </c>
    </row>
    <row r="10">
      <c r="B10" t="n">
        <v>2022</v>
      </c>
      <c r="C10" s="4">
        <f>PRODUCT('CMIG4 Mensual'!D88:D99)-1</f>
        <v/>
      </c>
      <c r="D10" s="4">
        <f>SUM('CMIG4 Mensual'!E88:E99)</f>
        <v/>
      </c>
    </row>
    <row r="11">
      <c r="B11" t="n">
        <v>2023</v>
      </c>
      <c r="C11" s="4">
        <f>PRODUCT('CMIG4 Mensual'!D100:D100)-1</f>
        <v/>
      </c>
      <c r="D11" s="4">
        <f>SUM('CMIG4 Mensual'!E100:E100)</f>
        <v/>
      </c>
      <c r="E11" t="inlineStr">
        <is>
          <t>Excluido: solo 1 mes</t>
        </is>
      </c>
    </row>
    <row r="12"/>
    <row r="13">
      <c r="B13" t="inlineStr">
        <is>
          <t>Retorno esperado</t>
        </is>
      </c>
      <c r="C13" s="4">
        <f>AVERAGE(C3:C10)</f>
        <v/>
      </c>
      <c r="D13" s="4">
        <f>AVERAGE(D3:D10)</f>
        <v/>
      </c>
    </row>
    <row r="14">
      <c r="B14" t="inlineStr">
        <is>
          <t>VAR</t>
        </is>
      </c>
      <c r="C14" s="10">
        <f>_xlfn.VAR.S(C3:C10)</f>
        <v/>
      </c>
      <c r="D14" s="10">
        <f>_xlfn.VAR.S(D3:D10)</f>
        <v/>
      </c>
    </row>
    <row r="15">
      <c r="B15" t="inlineStr">
        <is>
          <t>SD</t>
        </is>
      </c>
      <c r="C15" s="4">
        <f>SQRT(C14)</f>
        <v/>
      </c>
      <c r="D15" s="4">
        <f>SQRT(D14)</f>
        <v/>
      </c>
    </row>
    <row r="16"/>
    <row r="17">
      <c r="B17" t="inlineStr">
        <is>
          <t>Error estándar</t>
        </is>
      </c>
      <c r="C17" s="4">
        <f>C15/SQRT(COUNT(C3:C10))</f>
        <v/>
      </c>
      <c r="D17" s="4">
        <f>D15/SQRT(COUNT(D3:D10))</f>
        <v/>
      </c>
    </row>
    <row r="18"/>
    <row r="19">
      <c r="B19" t="inlineStr">
        <is>
          <t>Intervalo de confianza (95%)</t>
        </is>
      </c>
      <c r="C19" s="4">
        <f>C13+(1.96*C17)</f>
        <v/>
      </c>
      <c r="D19" s="4">
        <f>D13+(1.96*D17)</f>
        <v/>
      </c>
    </row>
    <row r="20">
      <c r="C20" s="4">
        <f>C13-(1.96*C17)</f>
        <v/>
      </c>
      <c r="D20" s="4">
        <f>D13-(1.96*D17)</f>
        <v/>
      </c>
    </row>
    <row r="21"/>
    <row r="22"/>
    <row r="23"/>
    <row r="24"/>
  </sheetData>
  <mergeCells count="1">
    <mergeCell ref="G2:P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1" customWidth="1" min="4" max="4"/>
    <col width="12" customWidth="1" min="5" max="5"/>
    <col width="3" customWidth="1" min="6" max="6"/>
    <col width="24" customWidth="1" min="7" max="7"/>
    <col width="15" customWidth="1" min="8" max="8"/>
    <col width="16" customWidth="1" min="9" max="9"/>
  </cols>
  <sheetData>
    <row r="1">
      <c r="A1" s="1" t="inlineStr">
        <is>
          <t>Indicadores bursátiles — OIBR4</t>
        </is>
      </c>
    </row>
    <row r="2">
      <c r="H2" s="2" t="inlineStr">
        <is>
          <t>Simple</t>
        </is>
      </c>
      <c r="I2" s="2" t="inlineStr">
        <is>
          <t>LN</t>
        </is>
      </c>
    </row>
    <row r="3">
      <c r="A3" s="2" t="inlineStr">
        <is>
          <t>Periodo</t>
        </is>
      </c>
      <c r="B3" s="2" t="inlineStr">
        <is>
          <t>Precio OIBR4 (BRL)</t>
        </is>
      </c>
      <c r="C3" s="2" t="inlineStr">
        <is>
          <t>Retorno simple</t>
        </is>
      </c>
      <c r="D3" s="2" t="inlineStr">
        <is>
          <t>Retorno +1</t>
        </is>
      </c>
      <c r="E3" s="2" t="inlineStr">
        <is>
          <t>Retorno LN</t>
        </is>
      </c>
      <c r="G3" t="inlineStr">
        <is>
          <t>Retorno promedio mensual</t>
        </is>
      </c>
      <c r="H3" s="6">
        <f>AVERAGE(C5:C100)</f>
        <v/>
      </c>
      <c r="I3" s="6">
        <f>AVERAGE(E5:E100)</f>
        <v/>
      </c>
      <c r="K3" s="3" t="inlineStr">
        <is>
          <t>Resultados mensuales (feb-2015 a ene-2023, 96 meses; precios en reales). El retorno esperado mensual de OIBR4 (Oi) es −0,38% en base simple y −2,36% en base ln. El riesgo mensual, medido con la desviación estándar, es 21,56% en base simple (varianza 0,04649) y 19,47% en base ln (varianza 0,03789). Un mes típico se aleja unos 21,6 puntos del promedio, por lo que la mayoría de los meses queda entre −21,9% y +21,2%. Las dos bases difieren mucho. La media ln (−2,36%) refleja mejor lo que pasó con el precio, que cayó de R$ 50,10 a R$ 5,20 (−89,6% en el período). Con esta volatilidad, la media simple sobrestima el crecimiento real.
Paseo aleatorio: se proyectan 36 meses desde ene-2023 (R$ 5,20), sorteando cada retorno con una Normal de media −0,38% y desviación estándar 21,56%. Es una trayectoria posible entre muchas, no un pronóstico.</t>
        </is>
      </c>
    </row>
    <row r="4">
      <c r="A4" s="7" t="n">
        <v>42005</v>
      </c>
      <c r="B4" s="8" t="n">
        <v>50.099998</v>
      </c>
      <c r="G4" t="inlineStr">
        <is>
          <t>Var</t>
        </is>
      </c>
      <c r="H4" s="9">
        <f>_xlfn.VAR.S(C5:C100)</f>
        <v/>
      </c>
      <c r="I4" s="9">
        <f>_xlfn.VAR.S(E5:E100)</f>
        <v/>
      </c>
    </row>
    <row r="5">
      <c r="A5" s="7" t="n">
        <v>42036</v>
      </c>
      <c r="B5" s="8" t="n">
        <v>59.5</v>
      </c>
      <c r="C5" s="4">
        <f>(B5-B4)/B4</f>
        <v/>
      </c>
      <c r="D5" s="10">
        <f>C5+1</f>
        <v/>
      </c>
      <c r="E5" s="4">
        <f>LN(B5/B4)</f>
        <v/>
      </c>
      <c r="G5" t="inlineStr">
        <is>
          <t>SD</t>
        </is>
      </c>
      <c r="H5" s="11">
        <f>SQRT(H4)</f>
        <v/>
      </c>
      <c r="I5" s="11">
        <f>SQRT(I4)</f>
        <v/>
      </c>
    </row>
    <row r="6">
      <c r="A6" s="7" t="n">
        <v>42064</v>
      </c>
      <c r="B6" s="8" t="n">
        <v>51.099998</v>
      </c>
      <c r="C6" s="4">
        <f>(B6-B5)/B5</f>
        <v/>
      </c>
      <c r="D6" s="10">
        <f>C6+1</f>
        <v/>
      </c>
      <c r="E6" s="4">
        <f>LN(B6/B5)</f>
        <v/>
      </c>
    </row>
    <row r="7">
      <c r="A7" s="7" t="n">
        <v>42095</v>
      </c>
      <c r="B7" s="8" t="n">
        <v>56.700001</v>
      </c>
      <c r="C7" s="4">
        <f>(B7-B6)/B6</f>
        <v/>
      </c>
      <c r="D7" s="10">
        <f>C7+1</f>
        <v/>
      </c>
      <c r="E7" s="4">
        <f>LN(B7/B6)</f>
        <v/>
      </c>
    </row>
    <row r="8">
      <c r="A8" s="7" t="n">
        <v>42125</v>
      </c>
      <c r="B8" s="8" t="n">
        <v>70.800003</v>
      </c>
      <c r="C8" s="4">
        <f>(B8-B7)/B7</f>
        <v/>
      </c>
      <c r="D8" s="10">
        <f>C8+1</f>
        <v/>
      </c>
      <c r="E8" s="4">
        <f>LN(B8/B7)</f>
        <v/>
      </c>
      <c r="G8" s="2" t="inlineStr">
        <is>
          <t>Paseo aleatorio</t>
        </is>
      </c>
    </row>
    <row r="9">
      <c r="A9" s="7" t="n">
        <v>42156</v>
      </c>
      <c r="B9" s="8" t="n">
        <v>58.799999</v>
      </c>
      <c r="C9" s="4">
        <f>(B9-B8)/B8</f>
        <v/>
      </c>
      <c r="D9" s="10">
        <f>C9+1</f>
        <v/>
      </c>
      <c r="E9" s="4">
        <f>LN(B9/B8)</f>
        <v/>
      </c>
      <c r="G9" s="2" t="inlineStr">
        <is>
          <t>Mes</t>
        </is>
      </c>
      <c r="H9" s="2" t="inlineStr">
        <is>
          <t>Precio simulado</t>
        </is>
      </c>
      <c r="I9" s="2" t="inlineStr">
        <is>
          <t>Retorno simulado</t>
        </is>
      </c>
    </row>
    <row r="10">
      <c r="A10" s="7" t="n">
        <v>42186</v>
      </c>
      <c r="B10" s="8" t="n">
        <v>48.299999</v>
      </c>
      <c r="C10" s="4">
        <f>(B10-B9)/B9</f>
        <v/>
      </c>
      <c r="D10" s="10">
        <f>C10+1</f>
        <v/>
      </c>
      <c r="E10" s="4">
        <f>LN(B10/B9)</f>
        <v/>
      </c>
      <c r="G10" s="12" t="n">
        <v>44958</v>
      </c>
      <c r="H10" s="8">
        <f>B100*EXP(I10)</f>
        <v/>
      </c>
      <c r="I10" s="4">
        <f>_xlfn.NORM.INV(RAND(),$H$3,$H$5)</f>
        <v/>
      </c>
    </row>
    <row r="11">
      <c r="A11" s="7" t="n">
        <v>42217</v>
      </c>
      <c r="B11" s="8" t="n">
        <v>27.200001</v>
      </c>
      <c r="C11" s="4">
        <f>(B11-B10)/B10</f>
        <v/>
      </c>
      <c r="D11" s="10">
        <f>C11+1</f>
        <v/>
      </c>
      <c r="E11" s="4">
        <f>LN(B11/B10)</f>
        <v/>
      </c>
      <c r="G11" s="12" t="n">
        <v>44986</v>
      </c>
      <c r="H11" s="8">
        <f>H10*EXP(I11)</f>
        <v/>
      </c>
      <c r="I11" s="4">
        <f>_xlfn.NORM.INV(RAND(),$H$3,$H$5)</f>
        <v/>
      </c>
    </row>
    <row r="12">
      <c r="A12" s="7" t="n">
        <v>42248</v>
      </c>
      <c r="B12" s="8" t="n">
        <v>27.9</v>
      </c>
      <c r="C12" s="4">
        <f>(B12-B11)/B11</f>
        <v/>
      </c>
      <c r="D12" s="10">
        <f>C12+1</f>
        <v/>
      </c>
      <c r="E12" s="4">
        <f>LN(B12/B11)</f>
        <v/>
      </c>
      <c r="G12" s="12" t="n">
        <v>45017</v>
      </c>
      <c r="H12" s="8">
        <f>H11*EXP(I12)</f>
        <v/>
      </c>
      <c r="I12" s="4">
        <f>_xlfn.NORM.INV(RAND(),$H$3,$H$5)</f>
        <v/>
      </c>
    </row>
    <row r="13">
      <c r="A13" s="7" t="n">
        <v>42278</v>
      </c>
      <c r="B13" s="8" t="n">
        <v>21.200001</v>
      </c>
      <c r="C13" s="4">
        <f>(B13-B12)/B12</f>
        <v/>
      </c>
      <c r="D13" s="10">
        <f>C13+1</f>
        <v/>
      </c>
      <c r="E13" s="4">
        <f>LN(B13/B12)</f>
        <v/>
      </c>
      <c r="G13" s="12" t="n">
        <v>45047</v>
      </c>
      <c r="H13" s="8">
        <f>H12*EXP(I13)</f>
        <v/>
      </c>
      <c r="I13" s="4">
        <f>_xlfn.NORM.INV(RAND(),$H$3,$H$5)</f>
        <v/>
      </c>
    </row>
    <row r="14">
      <c r="A14" s="7" t="n">
        <v>42309</v>
      </c>
      <c r="B14" s="8" t="n">
        <v>17.6</v>
      </c>
      <c r="C14" s="4">
        <f>(B14-B13)/B13</f>
        <v/>
      </c>
      <c r="D14" s="10">
        <f>C14+1</f>
        <v/>
      </c>
      <c r="E14" s="4">
        <f>LN(B14/B13)</f>
        <v/>
      </c>
      <c r="G14" s="12" t="n">
        <v>45078</v>
      </c>
      <c r="H14" s="8">
        <f>H13*EXP(I14)</f>
        <v/>
      </c>
      <c r="I14" s="4">
        <f>_xlfn.NORM.INV(RAND(),$H$3,$H$5)</f>
        <v/>
      </c>
    </row>
    <row r="15">
      <c r="A15" s="7" t="n">
        <v>42339</v>
      </c>
      <c r="B15" s="8" t="n">
        <v>19.5</v>
      </c>
      <c r="C15" s="4">
        <f>(B15-B14)/B14</f>
        <v/>
      </c>
      <c r="D15" s="10">
        <f>C15+1</f>
        <v/>
      </c>
      <c r="E15" s="4">
        <f>LN(B15/B14)</f>
        <v/>
      </c>
      <c r="G15" s="12" t="n">
        <v>45108</v>
      </c>
      <c r="H15" s="8">
        <f>H14*EXP(I15)</f>
        <v/>
      </c>
      <c r="I15" s="4">
        <f>_xlfn.NORM.INV(RAND(),$H$3,$H$5)</f>
        <v/>
      </c>
    </row>
    <row r="16">
      <c r="A16" s="7" t="n">
        <v>42370</v>
      </c>
      <c r="B16" s="8" t="n">
        <v>16.5</v>
      </c>
      <c r="C16" s="4">
        <f>(B16-B15)/B15</f>
        <v/>
      </c>
      <c r="D16" s="10">
        <f>C16+1</f>
        <v/>
      </c>
      <c r="E16" s="4">
        <f>LN(B16/B15)</f>
        <v/>
      </c>
      <c r="G16" s="12" t="n">
        <v>45139</v>
      </c>
      <c r="H16" s="8">
        <f>H15*EXP(I16)</f>
        <v/>
      </c>
      <c r="I16" s="4">
        <f>_xlfn.NORM.INV(RAND(),$H$3,$H$5)</f>
        <v/>
      </c>
    </row>
    <row r="17">
      <c r="A17" s="7" t="n">
        <v>42401</v>
      </c>
      <c r="B17" s="8" t="n">
        <v>12.1</v>
      </c>
      <c r="C17" s="4">
        <f>(B17-B16)/B16</f>
        <v/>
      </c>
      <c r="D17" s="10">
        <f>C17+1</f>
        <v/>
      </c>
      <c r="E17" s="4">
        <f>LN(B17/B16)</f>
        <v/>
      </c>
      <c r="G17" s="12" t="n">
        <v>45170</v>
      </c>
      <c r="H17" s="8">
        <f>H16*EXP(I17)</f>
        <v/>
      </c>
      <c r="I17" s="4">
        <f>_xlfn.NORM.INV(RAND(),$H$3,$H$5)</f>
        <v/>
      </c>
    </row>
    <row r="18">
      <c r="A18" s="7" t="n">
        <v>42430</v>
      </c>
      <c r="B18" s="8" t="n">
        <v>11.6</v>
      </c>
      <c r="C18" s="4">
        <f>(B18-B17)/B17</f>
        <v/>
      </c>
      <c r="D18" s="10">
        <f>C18+1</f>
        <v/>
      </c>
      <c r="E18" s="4">
        <f>LN(B18/B17)</f>
        <v/>
      </c>
      <c r="G18" s="12" t="n">
        <v>45200</v>
      </c>
      <c r="H18" s="8">
        <f>H17*EXP(I18)</f>
        <v/>
      </c>
      <c r="I18" s="4">
        <f>_xlfn.NORM.INV(RAND(),$H$3,$H$5)</f>
        <v/>
      </c>
    </row>
    <row r="19">
      <c r="A19" s="7" t="n">
        <v>42461</v>
      </c>
      <c r="B19" s="8" t="n">
        <v>10.2</v>
      </c>
      <c r="C19" s="4">
        <f>(B19-B18)/B18</f>
        <v/>
      </c>
      <c r="D19" s="10">
        <f>C19+1</f>
        <v/>
      </c>
      <c r="E19" s="4">
        <f>LN(B19/B18)</f>
        <v/>
      </c>
      <c r="G19" s="12" t="n">
        <v>45231</v>
      </c>
      <c r="H19" s="8">
        <f>H18*EXP(I19)</f>
        <v/>
      </c>
      <c r="I19" s="4">
        <f>_xlfn.NORM.INV(RAND(),$H$3,$H$5)</f>
        <v/>
      </c>
    </row>
    <row r="20">
      <c r="A20" s="7" t="n">
        <v>42491</v>
      </c>
      <c r="B20" s="8" t="n">
        <v>9.1</v>
      </c>
      <c r="C20" s="4">
        <f>(B20-B19)/B19</f>
        <v/>
      </c>
      <c r="D20" s="10">
        <f>C20+1</f>
        <v/>
      </c>
      <c r="E20" s="4">
        <f>LN(B20/B19)</f>
        <v/>
      </c>
      <c r="G20" s="12" t="n">
        <v>45261</v>
      </c>
      <c r="H20" s="8">
        <f>H19*EXP(I20)</f>
        <v/>
      </c>
      <c r="I20" s="4">
        <f>_xlfn.NORM.INV(RAND(),$H$3,$H$5)</f>
        <v/>
      </c>
    </row>
    <row r="21">
      <c r="A21" s="7" t="n">
        <v>42522</v>
      </c>
      <c r="B21" s="8" t="n">
        <v>13.2</v>
      </c>
      <c r="C21" s="4">
        <f>(B21-B20)/B20</f>
        <v/>
      </c>
      <c r="D21" s="10">
        <f>C21+1</f>
        <v/>
      </c>
      <c r="E21" s="4">
        <f>LN(B21/B20)</f>
        <v/>
      </c>
      <c r="G21" s="12" t="n">
        <v>45292</v>
      </c>
      <c r="H21" s="8">
        <f>H20*EXP(I21)</f>
        <v/>
      </c>
      <c r="I21" s="4">
        <f>_xlfn.NORM.INV(RAND(),$H$3,$H$5)</f>
        <v/>
      </c>
    </row>
    <row r="22">
      <c r="A22" s="7" t="n">
        <v>42552</v>
      </c>
      <c r="B22" s="8" t="n">
        <v>24.799999</v>
      </c>
      <c r="C22" s="4">
        <f>(B22-B21)/B21</f>
        <v/>
      </c>
      <c r="D22" s="10">
        <f>C22+1</f>
        <v/>
      </c>
      <c r="E22" s="4">
        <f>LN(B22/B21)</f>
        <v/>
      </c>
      <c r="G22" s="12" t="n">
        <v>45323</v>
      </c>
      <c r="H22" s="8">
        <f>H21*EXP(I22)</f>
        <v/>
      </c>
      <c r="I22" s="4">
        <f>_xlfn.NORM.INV(RAND(),$H$3,$H$5)</f>
        <v/>
      </c>
    </row>
    <row r="23">
      <c r="A23" s="7" t="n">
        <v>42583</v>
      </c>
      <c r="B23" s="8" t="n">
        <v>25.200001</v>
      </c>
      <c r="C23" s="4">
        <f>(B23-B22)/B22</f>
        <v/>
      </c>
      <c r="D23" s="10">
        <f>C23+1</f>
        <v/>
      </c>
      <c r="E23" s="4">
        <f>LN(B23/B22)</f>
        <v/>
      </c>
      <c r="G23" s="12" t="n">
        <v>45352</v>
      </c>
      <c r="H23" s="8">
        <f>H22*EXP(I23)</f>
        <v/>
      </c>
      <c r="I23" s="4">
        <f>_xlfn.NORM.INV(RAND(),$H$3,$H$5)</f>
        <v/>
      </c>
    </row>
    <row r="24">
      <c r="A24" s="7" t="n">
        <v>42614</v>
      </c>
      <c r="B24" s="8" t="n">
        <v>28.799999</v>
      </c>
      <c r="C24" s="4">
        <f>(B24-B23)/B23</f>
        <v/>
      </c>
      <c r="D24" s="10">
        <f>C24+1</f>
        <v/>
      </c>
      <c r="E24" s="4">
        <f>LN(B24/B23)</f>
        <v/>
      </c>
      <c r="G24" s="12" t="n">
        <v>45383</v>
      </c>
      <c r="H24" s="8">
        <f>H23*EXP(I24)</f>
        <v/>
      </c>
      <c r="I24" s="4">
        <f>_xlfn.NORM.INV(RAND(),$H$3,$H$5)</f>
        <v/>
      </c>
    </row>
    <row r="25">
      <c r="A25" s="7" t="n">
        <v>42644</v>
      </c>
      <c r="B25" s="8" t="n">
        <v>27.299999</v>
      </c>
      <c r="C25" s="4">
        <f>(B25-B24)/B24</f>
        <v/>
      </c>
      <c r="D25" s="10">
        <f>C25+1</f>
        <v/>
      </c>
      <c r="E25" s="4">
        <f>LN(B25/B24)</f>
        <v/>
      </c>
      <c r="G25" s="12" t="n">
        <v>45413</v>
      </c>
      <c r="H25" s="8">
        <f>H24*EXP(I25)</f>
        <v/>
      </c>
      <c r="I25" s="4">
        <f>_xlfn.NORM.INV(RAND(),$H$3,$H$5)</f>
        <v/>
      </c>
    </row>
    <row r="26">
      <c r="A26" s="7" t="n">
        <v>42675</v>
      </c>
      <c r="B26" s="8" t="n">
        <v>22.1</v>
      </c>
      <c r="C26" s="4">
        <f>(B26-B25)/B25</f>
        <v/>
      </c>
      <c r="D26" s="10">
        <f>C26+1</f>
        <v/>
      </c>
      <c r="E26" s="4">
        <f>LN(B26/B25)</f>
        <v/>
      </c>
      <c r="G26" s="12" t="n">
        <v>45444</v>
      </c>
      <c r="H26" s="8">
        <f>H25*EXP(I26)</f>
        <v/>
      </c>
      <c r="I26" s="4">
        <f>_xlfn.NORM.INV(RAND(),$H$3,$H$5)</f>
        <v/>
      </c>
    </row>
    <row r="27">
      <c r="A27" s="7" t="n">
        <v>42705</v>
      </c>
      <c r="B27" s="8" t="n">
        <v>22.5</v>
      </c>
      <c r="C27" s="4">
        <f>(B27-B26)/B26</f>
        <v/>
      </c>
      <c r="D27" s="10">
        <f>C27+1</f>
        <v/>
      </c>
      <c r="E27" s="4">
        <f>LN(B27/B26)</f>
        <v/>
      </c>
      <c r="G27" s="12" t="n">
        <v>45474</v>
      </c>
      <c r="H27" s="8">
        <f>H26*EXP(I27)</f>
        <v/>
      </c>
      <c r="I27" s="4">
        <f>_xlfn.NORM.INV(RAND(),$H$3,$H$5)</f>
        <v/>
      </c>
    </row>
    <row r="28">
      <c r="A28" s="7" t="n">
        <v>42736</v>
      </c>
      <c r="B28" s="8" t="n">
        <v>32</v>
      </c>
      <c r="C28" s="4">
        <f>(B28-B27)/B27</f>
        <v/>
      </c>
      <c r="D28" s="10">
        <f>C28+1</f>
        <v/>
      </c>
      <c r="E28" s="4">
        <f>LN(B28/B27)</f>
        <v/>
      </c>
      <c r="G28" s="12" t="n">
        <v>45505</v>
      </c>
      <c r="H28" s="8">
        <f>H27*EXP(I28)</f>
        <v/>
      </c>
      <c r="I28" s="4">
        <f>_xlfn.NORM.INV(RAND(),$H$3,$H$5)</f>
        <v/>
      </c>
    </row>
    <row r="29">
      <c r="A29" s="7" t="n">
        <v>42767</v>
      </c>
      <c r="B29" s="8" t="n">
        <v>34.400002</v>
      </c>
      <c r="C29" s="4">
        <f>(B29-B28)/B28</f>
        <v/>
      </c>
      <c r="D29" s="10">
        <f>C29+1</f>
        <v/>
      </c>
      <c r="E29" s="4">
        <f>LN(B29/B28)</f>
        <v/>
      </c>
      <c r="G29" s="12" t="n">
        <v>45536</v>
      </c>
      <c r="H29" s="8">
        <f>H28*EXP(I29)</f>
        <v/>
      </c>
      <c r="I29" s="4">
        <f>_xlfn.NORM.INV(RAND(),$H$3,$H$5)</f>
        <v/>
      </c>
    </row>
    <row r="30">
      <c r="A30" s="7" t="n">
        <v>42795</v>
      </c>
      <c r="B30" s="8" t="n">
        <v>39.200001</v>
      </c>
      <c r="C30" s="4">
        <f>(B30-B29)/B29</f>
        <v/>
      </c>
      <c r="D30" s="10">
        <f>C30+1</f>
        <v/>
      </c>
      <c r="E30" s="4">
        <f>LN(B30/B29)</f>
        <v/>
      </c>
      <c r="G30" s="12" t="n">
        <v>45566</v>
      </c>
      <c r="H30" s="8">
        <f>H29*EXP(I30)</f>
        <v/>
      </c>
      <c r="I30" s="4">
        <f>_xlfn.NORM.INV(RAND(),$H$3,$H$5)</f>
        <v/>
      </c>
    </row>
    <row r="31">
      <c r="A31" s="7" t="n">
        <v>42826</v>
      </c>
      <c r="B31" s="8" t="n">
        <v>34</v>
      </c>
      <c r="C31" s="4">
        <f>(B31-B30)/B30</f>
        <v/>
      </c>
      <c r="D31" s="10">
        <f>C31+1</f>
        <v/>
      </c>
      <c r="E31" s="4">
        <f>LN(B31/B30)</f>
        <v/>
      </c>
      <c r="G31" s="12" t="n">
        <v>45597</v>
      </c>
      <c r="H31" s="8">
        <f>H30*EXP(I31)</f>
        <v/>
      </c>
      <c r="I31" s="4">
        <f>_xlfn.NORM.INV(RAND(),$H$3,$H$5)</f>
        <v/>
      </c>
    </row>
    <row r="32">
      <c r="A32" s="7" t="n">
        <v>42856</v>
      </c>
      <c r="B32" s="8" t="n">
        <v>35.5</v>
      </c>
      <c r="C32" s="4">
        <f>(B32-B31)/B31</f>
        <v/>
      </c>
      <c r="D32" s="10">
        <f>C32+1</f>
        <v/>
      </c>
      <c r="E32" s="4">
        <f>LN(B32/B31)</f>
        <v/>
      </c>
      <c r="G32" s="12" t="n">
        <v>45627</v>
      </c>
      <c r="H32" s="8">
        <f>H31*EXP(I32)</f>
        <v/>
      </c>
      <c r="I32" s="4">
        <f>_xlfn.NORM.INV(RAND(),$H$3,$H$5)</f>
        <v/>
      </c>
    </row>
    <row r="33">
      <c r="A33" s="7" t="n">
        <v>42887</v>
      </c>
      <c r="B33" s="8" t="n">
        <v>34.200001</v>
      </c>
      <c r="C33" s="4">
        <f>(B33-B32)/B32</f>
        <v/>
      </c>
      <c r="D33" s="10">
        <f>C33+1</f>
        <v/>
      </c>
      <c r="E33" s="4">
        <f>LN(B33/B32)</f>
        <v/>
      </c>
      <c r="G33" s="12" t="n">
        <v>45658</v>
      </c>
      <c r="H33" s="8">
        <f>H32*EXP(I33)</f>
        <v/>
      </c>
      <c r="I33" s="4">
        <f>_xlfn.NORM.INV(RAND(),$H$3,$H$5)</f>
        <v/>
      </c>
    </row>
    <row r="34">
      <c r="A34" s="7" t="n">
        <v>42917</v>
      </c>
      <c r="B34" s="8" t="n">
        <v>34.099998</v>
      </c>
      <c r="C34" s="4">
        <f>(B34-B33)/B33</f>
        <v/>
      </c>
      <c r="D34" s="10">
        <f>C34+1</f>
        <v/>
      </c>
      <c r="E34" s="4">
        <f>LN(B34/B33)</f>
        <v/>
      </c>
      <c r="G34" s="12" t="n">
        <v>45689</v>
      </c>
      <c r="H34" s="8">
        <f>H33*EXP(I34)</f>
        <v/>
      </c>
      <c r="I34" s="4">
        <f>_xlfn.NORM.INV(RAND(),$H$3,$H$5)</f>
        <v/>
      </c>
    </row>
    <row r="35">
      <c r="A35" s="7" t="n">
        <v>42948</v>
      </c>
      <c r="B35" s="8" t="n">
        <v>37</v>
      </c>
      <c r="C35" s="4">
        <f>(B35-B34)/B34</f>
        <v/>
      </c>
      <c r="D35" s="10">
        <f>C35+1</f>
        <v/>
      </c>
      <c r="E35" s="4">
        <f>LN(B35/B34)</f>
        <v/>
      </c>
      <c r="G35" s="12" t="n">
        <v>45717</v>
      </c>
      <c r="H35" s="8">
        <f>H34*EXP(I35)</f>
        <v/>
      </c>
      <c r="I35" s="4">
        <f>_xlfn.NORM.INV(RAND(),$H$3,$H$5)</f>
        <v/>
      </c>
    </row>
    <row r="36">
      <c r="A36" s="7" t="n">
        <v>42979</v>
      </c>
      <c r="B36" s="8" t="n">
        <v>35.799999</v>
      </c>
      <c r="C36" s="4">
        <f>(B36-B35)/B35</f>
        <v/>
      </c>
      <c r="D36" s="10">
        <f>C36+1</f>
        <v/>
      </c>
      <c r="E36" s="4">
        <f>LN(B36/B35)</f>
        <v/>
      </c>
      <c r="G36" s="12" t="n">
        <v>45748</v>
      </c>
      <c r="H36" s="8">
        <f>H35*EXP(I36)</f>
        <v/>
      </c>
      <c r="I36" s="4">
        <f>_xlfn.NORM.INV(RAND(),$H$3,$H$5)</f>
        <v/>
      </c>
    </row>
    <row r="37">
      <c r="A37" s="7" t="n">
        <v>43009</v>
      </c>
      <c r="B37" s="8" t="n">
        <v>38.200001</v>
      </c>
      <c r="C37" s="4">
        <f>(B37-B36)/B36</f>
        <v/>
      </c>
      <c r="D37" s="10">
        <f>C37+1</f>
        <v/>
      </c>
      <c r="E37" s="4">
        <f>LN(B37/B36)</f>
        <v/>
      </c>
      <c r="G37" s="12" t="n">
        <v>45778</v>
      </c>
      <c r="H37" s="8">
        <f>H36*EXP(I37)</f>
        <v/>
      </c>
      <c r="I37" s="4">
        <f>_xlfn.NORM.INV(RAND(),$H$3,$H$5)</f>
        <v/>
      </c>
    </row>
    <row r="38">
      <c r="A38" s="7" t="n">
        <v>43040</v>
      </c>
      <c r="B38" s="8" t="n">
        <v>38.799999</v>
      </c>
      <c r="C38" s="4">
        <f>(B38-B37)/B37</f>
        <v/>
      </c>
      <c r="D38" s="10">
        <f>C38+1</f>
        <v/>
      </c>
      <c r="E38" s="4">
        <f>LN(B38/B37)</f>
        <v/>
      </c>
      <c r="G38" s="12" t="n">
        <v>45809</v>
      </c>
      <c r="H38" s="8">
        <f>H37*EXP(I38)</f>
        <v/>
      </c>
      <c r="I38" s="4">
        <f>_xlfn.NORM.INV(RAND(),$H$3,$H$5)</f>
        <v/>
      </c>
    </row>
    <row r="39">
      <c r="A39" s="7" t="n">
        <v>43070</v>
      </c>
      <c r="B39" s="8" t="n">
        <v>34.700001</v>
      </c>
      <c r="C39" s="4">
        <f>(B39-B38)/B38</f>
        <v/>
      </c>
      <c r="D39" s="10">
        <f>C39+1</f>
        <v/>
      </c>
      <c r="E39" s="4">
        <f>LN(B39/B38)</f>
        <v/>
      </c>
      <c r="G39" s="12" t="n">
        <v>45839</v>
      </c>
      <c r="H39" s="8">
        <f>H38*EXP(I39)</f>
        <v/>
      </c>
      <c r="I39" s="4">
        <f>_xlfn.NORM.INV(RAND(),$H$3,$H$5)</f>
        <v/>
      </c>
    </row>
    <row r="40">
      <c r="A40" s="7" t="n">
        <v>43101</v>
      </c>
      <c r="B40" s="8" t="n">
        <v>36</v>
      </c>
      <c r="C40" s="4">
        <f>(B40-B39)/B39</f>
        <v/>
      </c>
      <c r="D40" s="10">
        <f>C40+1</f>
        <v/>
      </c>
      <c r="E40" s="4">
        <f>LN(B40/B39)</f>
        <v/>
      </c>
      <c r="G40" s="12" t="n">
        <v>45870</v>
      </c>
      <c r="H40" s="8">
        <f>H39*EXP(I40)</f>
        <v/>
      </c>
      <c r="I40" s="4">
        <f>_xlfn.NORM.INV(RAND(),$H$3,$H$5)</f>
        <v/>
      </c>
    </row>
    <row r="41">
      <c r="A41" s="7" t="n">
        <v>43132</v>
      </c>
      <c r="B41" s="8" t="n">
        <v>38</v>
      </c>
      <c r="C41" s="4">
        <f>(B41-B40)/B40</f>
        <v/>
      </c>
      <c r="D41" s="10">
        <f>C41+1</f>
        <v/>
      </c>
      <c r="E41" s="4">
        <f>LN(B41/B40)</f>
        <v/>
      </c>
      <c r="G41" s="12" t="n">
        <v>45901</v>
      </c>
      <c r="H41" s="8">
        <f>H40*EXP(I41)</f>
        <v/>
      </c>
      <c r="I41" s="4">
        <f>_xlfn.NORM.INV(RAND(),$H$3,$H$5)</f>
        <v/>
      </c>
    </row>
    <row r="42">
      <c r="A42" s="7" t="n">
        <v>43160</v>
      </c>
      <c r="B42" s="8" t="n">
        <v>35.200001</v>
      </c>
      <c r="C42" s="4">
        <f>(B42-B41)/B41</f>
        <v/>
      </c>
      <c r="D42" s="10">
        <f>C42+1</f>
        <v/>
      </c>
      <c r="E42" s="4">
        <f>LN(B42/B41)</f>
        <v/>
      </c>
      <c r="G42" s="12" t="n">
        <v>45931</v>
      </c>
      <c r="H42" s="8">
        <f>H41*EXP(I42)</f>
        <v/>
      </c>
      <c r="I42" s="4">
        <f>_xlfn.NORM.INV(RAND(),$H$3,$H$5)</f>
        <v/>
      </c>
    </row>
    <row r="43">
      <c r="A43" s="7" t="n">
        <v>43191</v>
      </c>
      <c r="B43" s="8" t="n">
        <v>32.799999</v>
      </c>
      <c r="C43" s="4">
        <f>(B43-B42)/B42</f>
        <v/>
      </c>
      <c r="D43" s="10">
        <f>C43+1</f>
        <v/>
      </c>
      <c r="E43" s="4">
        <f>LN(B43/B42)</f>
        <v/>
      </c>
      <c r="G43" s="12" t="n">
        <v>45962</v>
      </c>
      <c r="H43" s="8">
        <f>H42*EXP(I43)</f>
        <v/>
      </c>
      <c r="I43" s="4">
        <f>_xlfn.NORM.INV(RAND(),$H$3,$H$5)</f>
        <v/>
      </c>
    </row>
    <row r="44">
      <c r="A44" s="7" t="n">
        <v>43221</v>
      </c>
      <c r="B44" s="8" t="n">
        <v>29</v>
      </c>
      <c r="C44" s="4">
        <f>(B44-B43)/B43</f>
        <v/>
      </c>
      <c r="D44" s="10">
        <f>C44+1</f>
        <v/>
      </c>
      <c r="E44" s="4">
        <f>LN(B44/B43)</f>
        <v/>
      </c>
      <c r="G44" s="12" t="n">
        <v>45992</v>
      </c>
      <c r="H44" s="8">
        <f>H43*EXP(I44)</f>
        <v/>
      </c>
      <c r="I44" s="4">
        <f>_xlfn.NORM.INV(RAND(),$H$3,$H$5)</f>
        <v/>
      </c>
    </row>
    <row r="45">
      <c r="A45" s="7" t="n">
        <v>43252</v>
      </c>
      <c r="B45" s="8" t="n">
        <v>28.9</v>
      </c>
      <c r="C45" s="4">
        <f>(B45-B44)/B44</f>
        <v/>
      </c>
      <c r="D45" s="10">
        <f>C45+1</f>
        <v/>
      </c>
      <c r="E45" s="4">
        <f>LN(B45/B44)</f>
        <v/>
      </c>
      <c r="G45" s="12" t="n">
        <v>46023</v>
      </c>
      <c r="H45" s="8">
        <f>H44*EXP(I45)</f>
        <v/>
      </c>
      <c r="I45" s="4">
        <f>_xlfn.NORM.INV(RAND(),$H$3,$H$5)</f>
        <v/>
      </c>
    </row>
    <row r="46">
      <c r="A46" s="7" t="n">
        <v>43282</v>
      </c>
      <c r="B46" s="8" t="n">
        <v>27.5</v>
      </c>
      <c r="C46" s="4">
        <f>(B46-B45)/B45</f>
        <v/>
      </c>
      <c r="D46" s="10">
        <f>C46+1</f>
        <v/>
      </c>
      <c r="E46" s="4">
        <f>LN(B46/B45)</f>
        <v/>
      </c>
    </row>
    <row r="47">
      <c r="A47" s="7" t="n">
        <v>43313</v>
      </c>
      <c r="B47" s="8" t="n">
        <v>25.6</v>
      </c>
      <c r="C47" s="4">
        <f>(B47-B46)/B46</f>
        <v/>
      </c>
      <c r="D47" s="10">
        <f>C47+1</f>
        <v/>
      </c>
      <c r="E47" s="4">
        <f>LN(B47/B46)</f>
        <v/>
      </c>
    </row>
    <row r="48">
      <c r="A48" s="7" t="n">
        <v>43344</v>
      </c>
      <c r="B48" s="8" t="n">
        <v>20.1</v>
      </c>
      <c r="C48" s="4">
        <f>(B48-B47)/B47</f>
        <v/>
      </c>
      <c r="D48" s="10">
        <f>C48+1</f>
        <v/>
      </c>
      <c r="E48" s="4">
        <f>LN(B48/B47)</f>
        <v/>
      </c>
    </row>
    <row r="49">
      <c r="A49" s="7" t="n">
        <v>43374</v>
      </c>
      <c r="B49" s="8" t="n">
        <v>24.1</v>
      </c>
      <c r="C49" s="4">
        <f>(B49-B48)/B48</f>
        <v/>
      </c>
      <c r="D49" s="10">
        <f>C49+1</f>
        <v/>
      </c>
      <c r="E49" s="4">
        <f>LN(B49/B48)</f>
        <v/>
      </c>
    </row>
    <row r="50">
      <c r="A50" s="7" t="n">
        <v>43405</v>
      </c>
      <c r="B50" s="8" t="n">
        <v>14.6</v>
      </c>
      <c r="C50" s="4">
        <f>(B50-B49)/B49</f>
        <v/>
      </c>
      <c r="D50" s="10">
        <f>C50+1</f>
        <v/>
      </c>
      <c r="E50" s="4">
        <f>LN(B50/B49)</f>
        <v/>
      </c>
    </row>
    <row r="51">
      <c r="A51" s="7" t="n">
        <v>43435</v>
      </c>
      <c r="B51" s="8" t="n">
        <v>12.6</v>
      </c>
      <c r="C51" s="4">
        <f>(B51-B50)/B50</f>
        <v/>
      </c>
      <c r="D51" s="10">
        <f>C51+1</f>
        <v/>
      </c>
      <c r="E51" s="4">
        <f>LN(B51/B50)</f>
        <v/>
      </c>
    </row>
    <row r="52">
      <c r="A52" s="7" t="n">
        <v>43466</v>
      </c>
      <c r="B52" s="8" t="n">
        <v>13.4</v>
      </c>
      <c r="C52" s="4">
        <f>(B52-B51)/B51</f>
        <v/>
      </c>
      <c r="D52" s="10">
        <f>C52+1</f>
        <v/>
      </c>
      <c r="E52" s="4">
        <f>LN(B52/B51)</f>
        <v/>
      </c>
    </row>
    <row r="53">
      <c r="A53" s="7" t="n">
        <v>43497</v>
      </c>
      <c r="B53" s="8" t="n">
        <v>18</v>
      </c>
      <c r="C53" s="4">
        <f>(B53-B52)/B52</f>
        <v/>
      </c>
      <c r="D53" s="10">
        <f>C53+1</f>
        <v/>
      </c>
      <c r="E53" s="4">
        <f>LN(B53/B52)</f>
        <v/>
      </c>
    </row>
    <row r="54">
      <c r="A54" s="7" t="n">
        <v>43525</v>
      </c>
      <c r="B54" s="8" t="n">
        <v>15.1</v>
      </c>
      <c r="C54" s="4">
        <f>(B54-B53)/B53</f>
        <v/>
      </c>
      <c r="D54" s="10">
        <f>C54+1</f>
        <v/>
      </c>
      <c r="E54" s="4">
        <f>LN(B54/B53)</f>
        <v/>
      </c>
    </row>
    <row r="55">
      <c r="A55" s="7" t="n">
        <v>43556</v>
      </c>
      <c r="B55" s="8" t="n">
        <v>16.799999</v>
      </c>
      <c r="C55" s="4">
        <f>(B55-B54)/B54</f>
        <v/>
      </c>
      <c r="D55" s="10">
        <f>C55+1</f>
        <v/>
      </c>
      <c r="E55" s="4">
        <f>LN(B55/B54)</f>
        <v/>
      </c>
    </row>
    <row r="56">
      <c r="A56" s="7" t="n">
        <v>43586</v>
      </c>
      <c r="B56" s="8" t="n">
        <v>16</v>
      </c>
      <c r="C56" s="4">
        <f>(B56-B55)/B55</f>
        <v/>
      </c>
      <c r="D56" s="10">
        <f>C56+1</f>
        <v/>
      </c>
      <c r="E56" s="4">
        <f>LN(B56/B55)</f>
        <v/>
      </c>
    </row>
    <row r="57">
      <c r="A57" s="7" t="n">
        <v>43617</v>
      </c>
      <c r="B57" s="8" t="n">
        <v>16.5</v>
      </c>
      <c r="C57" s="4">
        <f>(B57-B56)/B56</f>
        <v/>
      </c>
      <c r="D57" s="10">
        <f>C57+1</f>
        <v/>
      </c>
      <c r="E57" s="4">
        <f>LN(B57/B56)</f>
        <v/>
      </c>
    </row>
    <row r="58">
      <c r="A58" s="7" t="n">
        <v>43647</v>
      </c>
      <c r="B58" s="8" t="n">
        <v>17.200001</v>
      </c>
      <c r="C58" s="4">
        <f>(B58-B57)/B57</f>
        <v/>
      </c>
      <c r="D58" s="10">
        <f>C58+1</f>
        <v/>
      </c>
      <c r="E58" s="4">
        <f>LN(B58/B57)</f>
        <v/>
      </c>
    </row>
    <row r="59">
      <c r="A59" s="7" t="n">
        <v>43678</v>
      </c>
      <c r="B59" s="8" t="n">
        <v>16.4</v>
      </c>
      <c r="C59" s="4">
        <f>(B59-B58)/B58</f>
        <v/>
      </c>
      <c r="D59" s="10">
        <f>C59+1</f>
        <v/>
      </c>
      <c r="E59" s="4">
        <f>LN(B59/B58)</f>
        <v/>
      </c>
    </row>
    <row r="60">
      <c r="A60" s="7" t="n">
        <v>43709</v>
      </c>
      <c r="B60" s="8" t="n">
        <v>14.3</v>
      </c>
      <c r="C60" s="4">
        <f>(B60-B59)/B59</f>
        <v/>
      </c>
      <c r="D60" s="10">
        <f>C60+1</f>
        <v/>
      </c>
      <c r="E60" s="4">
        <f>LN(B60/B59)</f>
        <v/>
      </c>
    </row>
    <row r="61">
      <c r="A61" s="7" t="n">
        <v>43739</v>
      </c>
      <c r="B61" s="8" t="n">
        <v>13.1</v>
      </c>
      <c r="C61" s="4">
        <f>(B61-B60)/B60</f>
        <v/>
      </c>
      <c r="D61" s="10">
        <f>C61+1</f>
        <v/>
      </c>
      <c r="E61" s="4">
        <f>LN(B61/B60)</f>
        <v/>
      </c>
    </row>
    <row r="62">
      <c r="A62" s="7" t="n">
        <v>43770</v>
      </c>
      <c r="B62" s="8" t="n">
        <v>12.5</v>
      </c>
      <c r="C62" s="4">
        <f>(B62-B61)/B61</f>
        <v/>
      </c>
      <c r="D62" s="10">
        <f>C62+1</f>
        <v/>
      </c>
      <c r="E62" s="4">
        <f>LN(B62/B61)</f>
        <v/>
      </c>
    </row>
    <row r="63">
      <c r="A63" s="7" t="n">
        <v>43800</v>
      </c>
      <c r="B63" s="8" t="n">
        <v>12.3</v>
      </c>
      <c r="C63" s="4">
        <f>(B63-B62)/B62</f>
        <v/>
      </c>
      <c r="D63" s="10">
        <f>C63+1</f>
        <v/>
      </c>
      <c r="E63" s="4">
        <f>LN(B63/B62)</f>
        <v/>
      </c>
    </row>
    <row r="64">
      <c r="A64" s="7" t="n">
        <v>43831</v>
      </c>
      <c r="B64" s="8" t="n">
        <v>13.5</v>
      </c>
      <c r="C64" s="4">
        <f>(B64-B63)/B63</f>
        <v/>
      </c>
      <c r="D64" s="10">
        <f>C64+1</f>
        <v/>
      </c>
      <c r="E64" s="4">
        <f>LN(B64/B63)</f>
        <v/>
      </c>
    </row>
    <row r="65">
      <c r="A65" s="7" t="n">
        <v>43862</v>
      </c>
      <c r="B65" s="8" t="n">
        <v>13.2</v>
      </c>
      <c r="C65" s="4">
        <f>(B65-B64)/B64</f>
        <v/>
      </c>
      <c r="D65" s="10">
        <f>C65+1</f>
        <v/>
      </c>
      <c r="E65" s="4">
        <f>LN(B65/B64)</f>
        <v/>
      </c>
    </row>
    <row r="66">
      <c r="A66" s="7" t="n">
        <v>43891</v>
      </c>
      <c r="B66" s="8" t="n">
        <v>9.300000000000001</v>
      </c>
      <c r="C66" s="4">
        <f>(B66-B65)/B65</f>
        <v/>
      </c>
      <c r="D66" s="10">
        <f>C66+1</f>
        <v/>
      </c>
      <c r="E66" s="4">
        <f>LN(B66/B65)</f>
        <v/>
      </c>
    </row>
    <row r="67">
      <c r="A67" s="7" t="n">
        <v>43922</v>
      </c>
      <c r="B67" s="8" t="n">
        <v>10</v>
      </c>
      <c r="C67" s="4">
        <f>(B67-B66)/B66</f>
        <v/>
      </c>
      <c r="D67" s="10">
        <f>C67+1</f>
        <v/>
      </c>
      <c r="E67" s="4">
        <f>LN(B67/B66)</f>
        <v/>
      </c>
    </row>
    <row r="68">
      <c r="A68" s="7" t="n">
        <v>43952</v>
      </c>
      <c r="B68" s="8" t="n">
        <v>11</v>
      </c>
      <c r="C68" s="4">
        <f>(B68-B67)/B67</f>
        <v/>
      </c>
      <c r="D68" s="10">
        <f>C68+1</f>
        <v/>
      </c>
      <c r="E68" s="4">
        <f>LN(B68/B67)</f>
        <v/>
      </c>
    </row>
    <row r="69">
      <c r="A69" s="7" t="n">
        <v>43983</v>
      </c>
      <c r="B69" s="8" t="n">
        <v>15</v>
      </c>
      <c r="C69" s="4">
        <f>(B69-B68)/B68</f>
        <v/>
      </c>
      <c r="D69" s="10">
        <f>C69+1</f>
        <v/>
      </c>
      <c r="E69" s="4">
        <f>LN(B69/B68)</f>
        <v/>
      </c>
    </row>
    <row r="70">
      <c r="A70" s="7" t="n">
        <v>44013</v>
      </c>
      <c r="B70" s="8" t="n">
        <v>29.799999</v>
      </c>
      <c r="C70" s="4">
        <f>(B70-B69)/B69</f>
        <v/>
      </c>
      <c r="D70" s="10">
        <f>C70+1</f>
        <v/>
      </c>
      <c r="E70" s="4">
        <f>LN(B70/B69)</f>
        <v/>
      </c>
    </row>
    <row r="71">
      <c r="A71" s="7" t="n">
        <v>44044</v>
      </c>
      <c r="B71" s="8" t="n">
        <v>23.799999</v>
      </c>
      <c r="C71" s="4">
        <f>(B71-B70)/B70</f>
        <v/>
      </c>
      <c r="D71" s="10">
        <f>C71+1</f>
        <v/>
      </c>
      <c r="E71" s="4">
        <f>LN(B71/B70)</f>
        <v/>
      </c>
    </row>
    <row r="72">
      <c r="A72" s="7" t="n">
        <v>44075</v>
      </c>
      <c r="B72" s="8" t="n">
        <v>24.200001</v>
      </c>
      <c r="C72" s="4">
        <f>(B72-B71)/B71</f>
        <v/>
      </c>
      <c r="D72" s="10">
        <f>C72+1</f>
        <v/>
      </c>
      <c r="E72" s="4">
        <f>LN(B72/B71)</f>
        <v/>
      </c>
    </row>
    <row r="73">
      <c r="A73" s="7" t="n">
        <v>44105</v>
      </c>
      <c r="B73" s="8" t="n">
        <v>20</v>
      </c>
      <c r="C73" s="4">
        <f>(B73-B72)/B72</f>
        <v/>
      </c>
      <c r="D73" s="10">
        <f>C73+1</f>
        <v/>
      </c>
      <c r="E73" s="4">
        <f>LN(B73/B72)</f>
        <v/>
      </c>
    </row>
    <row r="74">
      <c r="A74" s="7" t="n">
        <v>44136</v>
      </c>
      <c r="B74" s="8" t="n">
        <v>30.200001</v>
      </c>
      <c r="C74" s="4">
        <f>(B74-B73)/B73</f>
        <v/>
      </c>
      <c r="D74" s="10">
        <f>C74+1</f>
        <v/>
      </c>
      <c r="E74" s="4">
        <f>LN(B74/B73)</f>
        <v/>
      </c>
    </row>
    <row r="75">
      <c r="A75" s="7" t="n">
        <v>44166</v>
      </c>
      <c r="B75" s="8" t="n">
        <v>28.200001</v>
      </c>
      <c r="C75" s="4">
        <f>(B75-B74)/B74</f>
        <v/>
      </c>
      <c r="D75" s="10">
        <f>C75+1</f>
        <v/>
      </c>
      <c r="E75" s="4">
        <f>LN(B75/B74)</f>
        <v/>
      </c>
    </row>
    <row r="76">
      <c r="A76" s="7" t="n">
        <v>44197</v>
      </c>
      <c r="B76" s="8" t="n">
        <v>26.6</v>
      </c>
      <c r="C76" s="4">
        <f>(B76-B75)/B75</f>
        <v/>
      </c>
      <c r="D76" s="10">
        <f>C76+1</f>
        <v/>
      </c>
      <c r="E76" s="4">
        <f>LN(B76/B75)</f>
        <v/>
      </c>
    </row>
    <row r="77">
      <c r="A77" s="7" t="n">
        <v>44228</v>
      </c>
      <c r="B77" s="8" t="n">
        <v>23</v>
      </c>
      <c r="C77" s="4">
        <f>(B77-B76)/B76</f>
        <v/>
      </c>
      <c r="D77" s="10">
        <f>C77+1</f>
        <v/>
      </c>
      <c r="E77" s="4">
        <f>LN(B77/B76)</f>
        <v/>
      </c>
    </row>
    <row r="78">
      <c r="A78" s="7" t="n">
        <v>44256</v>
      </c>
      <c r="B78" s="8" t="n">
        <v>26.799999</v>
      </c>
      <c r="C78" s="4">
        <f>(B78-B77)/B77</f>
        <v/>
      </c>
      <c r="D78" s="10">
        <f>C78+1</f>
        <v/>
      </c>
      <c r="E78" s="4">
        <f>LN(B78/B77)</f>
        <v/>
      </c>
    </row>
    <row r="79">
      <c r="A79" s="7" t="n">
        <v>44287</v>
      </c>
      <c r="B79" s="8" t="n">
        <v>23.799999</v>
      </c>
      <c r="C79" s="4">
        <f>(B79-B78)/B78</f>
        <v/>
      </c>
      <c r="D79" s="10">
        <f>C79+1</f>
        <v/>
      </c>
      <c r="E79" s="4">
        <f>LN(B79/B78)</f>
        <v/>
      </c>
    </row>
    <row r="80">
      <c r="A80" s="7" t="n">
        <v>44317</v>
      </c>
      <c r="B80" s="8" t="n">
        <v>22.6</v>
      </c>
      <c r="C80" s="4">
        <f>(B80-B79)/B79</f>
        <v/>
      </c>
      <c r="D80" s="10">
        <f>C80+1</f>
        <v/>
      </c>
      <c r="E80" s="4">
        <f>LN(B80/B79)</f>
        <v/>
      </c>
    </row>
    <row r="81">
      <c r="A81" s="7" t="n">
        <v>44348</v>
      </c>
      <c r="B81" s="8" t="n">
        <v>22.1</v>
      </c>
      <c r="C81" s="4">
        <f>(B81-B80)/B80</f>
        <v/>
      </c>
      <c r="D81" s="10">
        <f>C81+1</f>
        <v/>
      </c>
      <c r="E81" s="4">
        <f>LN(B81/B80)</f>
        <v/>
      </c>
    </row>
    <row r="82">
      <c r="A82" s="7" t="n">
        <v>44378</v>
      </c>
      <c r="B82" s="8" t="n">
        <v>18.799999</v>
      </c>
      <c r="C82" s="4">
        <f>(B82-B81)/B81</f>
        <v/>
      </c>
      <c r="D82" s="10">
        <f>C82+1</f>
        <v/>
      </c>
      <c r="E82" s="4">
        <f>LN(B82/B81)</f>
        <v/>
      </c>
    </row>
    <row r="83">
      <c r="A83" s="7" t="n">
        <v>44409</v>
      </c>
      <c r="B83" s="8" t="n">
        <v>18</v>
      </c>
      <c r="C83" s="4">
        <f>(B83-B82)/B82</f>
        <v/>
      </c>
      <c r="D83" s="10">
        <f>C83+1</f>
        <v/>
      </c>
      <c r="E83" s="4">
        <f>LN(B83/B82)</f>
        <v/>
      </c>
    </row>
    <row r="84">
      <c r="A84" s="7" t="n">
        <v>44440</v>
      </c>
      <c r="B84" s="8" t="n">
        <v>16.9</v>
      </c>
      <c r="C84" s="4">
        <f>(B84-B83)/B83</f>
        <v/>
      </c>
      <c r="D84" s="10">
        <f>C84+1</f>
        <v/>
      </c>
      <c r="E84" s="4">
        <f>LN(B84/B83)</f>
        <v/>
      </c>
    </row>
    <row r="85">
      <c r="A85" s="7" t="n">
        <v>44470</v>
      </c>
      <c r="B85" s="8" t="n">
        <v>14.9</v>
      </c>
      <c r="C85" s="4">
        <f>(B85-B84)/B84</f>
        <v/>
      </c>
      <c r="D85" s="10">
        <f>C85+1</f>
        <v/>
      </c>
      <c r="E85" s="4">
        <f>LN(B85/B84)</f>
        <v/>
      </c>
    </row>
    <row r="86">
      <c r="A86" s="7" t="n">
        <v>44501</v>
      </c>
      <c r="B86" s="8" t="n">
        <v>13.7</v>
      </c>
      <c r="C86" s="4">
        <f>(B86-B85)/B85</f>
        <v/>
      </c>
      <c r="D86" s="10">
        <f>C86+1</f>
        <v/>
      </c>
      <c r="E86" s="4">
        <f>LN(B86/B85)</f>
        <v/>
      </c>
    </row>
    <row r="87">
      <c r="A87" s="7" t="n">
        <v>44531</v>
      </c>
      <c r="B87" s="8" t="n">
        <v>12.8</v>
      </c>
      <c r="C87" s="4">
        <f>(B87-B86)/B86</f>
        <v/>
      </c>
      <c r="D87" s="10">
        <f>C87+1</f>
        <v/>
      </c>
      <c r="E87" s="4">
        <f>LN(B87/B86)</f>
        <v/>
      </c>
    </row>
    <row r="88">
      <c r="A88" s="7" t="n">
        <v>44562</v>
      </c>
      <c r="B88" s="8" t="n">
        <v>17.5</v>
      </c>
      <c r="C88" s="4">
        <f>(B88-B87)/B87</f>
        <v/>
      </c>
      <c r="D88" s="10">
        <f>C88+1</f>
        <v/>
      </c>
      <c r="E88" s="4">
        <f>LN(B88/B87)</f>
        <v/>
      </c>
    </row>
    <row r="89">
      <c r="A89" s="7" t="n">
        <v>44593</v>
      </c>
      <c r="B89" s="8" t="n">
        <v>13.4</v>
      </c>
      <c r="C89" s="4">
        <f>(B89-B88)/B88</f>
        <v/>
      </c>
      <c r="D89" s="10">
        <f>C89+1</f>
        <v/>
      </c>
      <c r="E89" s="4">
        <f>LN(B89/B88)</f>
        <v/>
      </c>
    </row>
    <row r="90">
      <c r="A90" s="7" t="n">
        <v>44621</v>
      </c>
      <c r="B90" s="8" t="n">
        <v>13.9</v>
      </c>
      <c r="C90" s="4">
        <f>(B90-B89)/B89</f>
        <v/>
      </c>
      <c r="D90" s="10">
        <f>C90+1</f>
        <v/>
      </c>
      <c r="E90" s="4">
        <f>LN(B90/B89)</f>
        <v/>
      </c>
    </row>
    <row r="91">
      <c r="A91" s="7" t="n">
        <v>44652</v>
      </c>
      <c r="B91" s="8" t="n">
        <v>13.7</v>
      </c>
      <c r="C91" s="4">
        <f>(B91-B90)/B90</f>
        <v/>
      </c>
      <c r="D91" s="10">
        <f>C91+1</f>
        <v/>
      </c>
      <c r="E91" s="4">
        <f>LN(B91/B90)</f>
        <v/>
      </c>
    </row>
    <row r="92">
      <c r="A92" s="7" t="n">
        <v>44682</v>
      </c>
      <c r="B92" s="8" t="n">
        <v>13.1</v>
      </c>
      <c r="C92" s="4">
        <f>(B92-B91)/B91</f>
        <v/>
      </c>
      <c r="D92" s="10">
        <f>C92+1</f>
        <v/>
      </c>
      <c r="E92" s="4">
        <f>LN(B92/B91)</f>
        <v/>
      </c>
    </row>
    <row r="93">
      <c r="A93" s="7" t="n">
        <v>44713</v>
      </c>
      <c r="B93" s="8" t="n">
        <v>11</v>
      </c>
      <c r="C93" s="4">
        <f>(B93-B92)/B92</f>
        <v/>
      </c>
      <c r="D93" s="10">
        <f>C93+1</f>
        <v/>
      </c>
      <c r="E93" s="4">
        <f>LN(B93/B92)</f>
        <v/>
      </c>
    </row>
    <row r="94">
      <c r="A94" s="7" t="n">
        <v>44743</v>
      </c>
      <c r="B94" s="8" t="n">
        <v>9.6</v>
      </c>
      <c r="C94" s="4">
        <f>(B94-B93)/B93</f>
        <v/>
      </c>
      <c r="D94" s="10">
        <f>C94+1</f>
        <v/>
      </c>
      <c r="E94" s="4">
        <f>LN(B94/B93)</f>
        <v/>
      </c>
    </row>
    <row r="95">
      <c r="A95" s="7" t="n">
        <v>44774</v>
      </c>
      <c r="B95" s="8" t="n">
        <v>10.4</v>
      </c>
      <c r="C95" s="4">
        <f>(B95-B94)/B94</f>
        <v/>
      </c>
      <c r="D95" s="10">
        <f>C95+1</f>
        <v/>
      </c>
      <c r="E95" s="4">
        <f>LN(B95/B94)</f>
        <v/>
      </c>
    </row>
    <row r="96">
      <c r="A96" s="7" t="n">
        <v>44805</v>
      </c>
      <c r="B96" s="8" t="n">
        <v>8.300000000000001</v>
      </c>
      <c r="C96" s="4">
        <f>(B96-B95)/B95</f>
        <v/>
      </c>
      <c r="D96" s="10">
        <f>C96+1</f>
        <v/>
      </c>
      <c r="E96" s="4">
        <f>LN(B96/B95)</f>
        <v/>
      </c>
    </row>
    <row r="97">
      <c r="A97" s="7" t="n">
        <v>44835</v>
      </c>
      <c r="B97" s="8" t="n">
        <v>6.3</v>
      </c>
      <c r="C97" s="4">
        <f>(B97-B96)/B96</f>
        <v/>
      </c>
      <c r="D97" s="10">
        <f>C97+1</f>
        <v/>
      </c>
      <c r="E97" s="4">
        <f>LN(B97/B96)</f>
        <v/>
      </c>
    </row>
    <row r="98">
      <c r="A98" s="7" t="n">
        <v>44866</v>
      </c>
      <c r="B98" s="8" t="n">
        <v>5.2</v>
      </c>
      <c r="C98" s="4">
        <f>(B98-B97)/B97</f>
        <v/>
      </c>
      <c r="D98" s="10">
        <f>C98+1</f>
        <v/>
      </c>
      <c r="E98" s="4">
        <f>LN(B98/B97)</f>
        <v/>
      </c>
    </row>
    <row r="99">
      <c r="A99" s="7" t="n">
        <v>44896</v>
      </c>
      <c r="B99" s="8" t="n">
        <v>5.1</v>
      </c>
      <c r="C99" s="4">
        <f>(B99-B98)/B98</f>
        <v/>
      </c>
      <c r="D99" s="10">
        <f>C99+1</f>
        <v/>
      </c>
      <c r="E99" s="4">
        <f>LN(B99/B98)</f>
        <v/>
      </c>
    </row>
    <row r="100">
      <c r="A100" s="7" t="n">
        <v>44927</v>
      </c>
      <c r="B100" s="8" t="n">
        <v>5.2</v>
      </c>
      <c r="C100" s="4">
        <f>(B100-B99)/B99</f>
        <v/>
      </c>
      <c r="D100" s="10">
        <f>C100+1</f>
        <v/>
      </c>
      <c r="E100" s="4">
        <f>LN(B100/B99)</f>
        <v/>
      </c>
    </row>
  </sheetData>
  <mergeCells count="1">
    <mergeCell ref="K3:S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S40"/>
  <sheetViews>
    <sheetView workbookViewId="0">
      <selection activeCell="A1" sqref="A1"/>
    </sheetView>
  </sheetViews>
  <sheetFormatPr baseColWidth="8" defaultRowHeight="15"/>
  <sheetData>
    <row r="4">
      <c r="A4" s="2" t="inlineStr">
        <is>
          <t>Mes</t>
        </is>
      </c>
      <c r="B4" s="2" t="inlineStr">
        <is>
          <t>Escenario 1</t>
        </is>
      </c>
      <c r="C4" s="2" t="inlineStr">
        <is>
          <t>Escenario 2</t>
        </is>
      </c>
      <c r="D4" s="2" t="inlineStr">
        <is>
          <t>Escenario 3</t>
        </is>
      </c>
      <c r="E4" s="2" t="inlineStr">
        <is>
          <t>Escenario 4</t>
        </is>
      </c>
      <c r="F4" s="2" t="inlineStr">
        <is>
          <t>Escenario 5</t>
        </is>
      </c>
    </row>
    <row r="5">
      <c r="A5" s="12" t="n">
        <v>44958</v>
      </c>
      <c r="B5" s="4">
        <f>_xlfn.NORM.INV(RAND(),'OIBR4 Mensual'!$H$3,'OIBR4 Mensual'!$H$5)</f>
        <v/>
      </c>
      <c r="C5" s="4">
        <f>_xlfn.NORM.INV(RAND(),'OIBR4 Mensual'!$H$3,'OIBR4 Mensual'!$H$5)</f>
        <v/>
      </c>
      <c r="D5" s="4">
        <f>_xlfn.NORM.INV(RAND(),'OIBR4 Mensual'!$H$3,'OIBR4 Mensual'!$H$5)</f>
        <v/>
      </c>
      <c r="E5" s="4">
        <f>_xlfn.NORM.INV(RAND(),'OIBR4 Mensual'!$H$3,'OIBR4 Mensual'!$H$5)</f>
        <v/>
      </c>
      <c r="F5" s="4">
        <f>_xlfn.NORM.INV(RAND(),'OIBR4 Mensual'!$H$3,'OIBR4 Mensual'!$H$5)</f>
        <v/>
      </c>
    </row>
    <row r="6">
      <c r="A6" s="12" t="n">
        <v>44986</v>
      </c>
      <c r="B6" s="4">
        <f>_xlfn.NORM.INV(RAND(),'OIBR4 Mensual'!$H$3,'OIBR4 Mensual'!$H$5)</f>
        <v/>
      </c>
      <c r="C6" s="4">
        <f>_xlfn.NORM.INV(RAND(),'OIBR4 Mensual'!$H$3,'OIBR4 Mensual'!$H$5)</f>
        <v/>
      </c>
      <c r="D6" s="4">
        <f>_xlfn.NORM.INV(RAND(),'OIBR4 Mensual'!$H$3,'OIBR4 Mensual'!$H$5)</f>
        <v/>
      </c>
      <c r="E6" s="4">
        <f>_xlfn.NORM.INV(RAND(),'OIBR4 Mensual'!$H$3,'OIBR4 Mensual'!$H$5)</f>
        <v/>
      </c>
      <c r="F6" s="4">
        <f>_xlfn.NORM.INV(RAND(),'OIBR4 Mensual'!$H$3,'OIBR4 Mensual'!$H$5)</f>
        <v/>
      </c>
    </row>
    <row r="7">
      <c r="A7" s="12" t="n">
        <v>45017</v>
      </c>
      <c r="B7" s="4">
        <f>_xlfn.NORM.INV(RAND(),'OIBR4 Mensual'!$H$3,'OIBR4 Mensual'!$H$5)</f>
        <v/>
      </c>
      <c r="C7" s="4">
        <f>_xlfn.NORM.INV(RAND(),'OIBR4 Mensual'!$H$3,'OIBR4 Mensual'!$H$5)</f>
        <v/>
      </c>
      <c r="D7" s="4">
        <f>_xlfn.NORM.INV(RAND(),'OIBR4 Mensual'!$H$3,'OIBR4 Mensual'!$H$5)</f>
        <v/>
      </c>
      <c r="E7" s="4">
        <f>_xlfn.NORM.INV(RAND(),'OIBR4 Mensual'!$H$3,'OIBR4 Mensual'!$H$5)</f>
        <v/>
      </c>
      <c r="F7" s="4">
        <f>_xlfn.NORM.INV(RAND(),'OIBR4 Mensual'!$H$3,'OIBR4 Mensual'!$H$5)</f>
        <v/>
      </c>
    </row>
    <row r="8">
      <c r="A8" s="12" t="n">
        <v>45047</v>
      </c>
      <c r="B8" s="4">
        <f>_xlfn.NORM.INV(RAND(),'OIBR4 Mensual'!$H$3,'OIBR4 Mensual'!$H$5)</f>
        <v/>
      </c>
      <c r="C8" s="4">
        <f>_xlfn.NORM.INV(RAND(),'OIBR4 Mensual'!$H$3,'OIBR4 Mensual'!$H$5)</f>
        <v/>
      </c>
      <c r="D8" s="4">
        <f>_xlfn.NORM.INV(RAND(),'OIBR4 Mensual'!$H$3,'OIBR4 Mensual'!$H$5)</f>
        <v/>
      </c>
      <c r="E8" s="4">
        <f>_xlfn.NORM.INV(RAND(),'OIBR4 Mensual'!$H$3,'OIBR4 Mensual'!$H$5)</f>
        <v/>
      </c>
      <c r="F8" s="4">
        <f>_xlfn.NORM.INV(RAND(),'OIBR4 Mensual'!$H$3,'OIBR4 Mensual'!$H$5)</f>
        <v/>
      </c>
    </row>
    <row r="9">
      <c r="A9" s="12" t="n">
        <v>45078</v>
      </c>
      <c r="B9" s="4">
        <f>_xlfn.NORM.INV(RAND(),'OIBR4 Mensual'!$H$3,'OIBR4 Mensual'!$H$5)</f>
        <v/>
      </c>
      <c r="C9" s="4">
        <f>_xlfn.NORM.INV(RAND(),'OIBR4 Mensual'!$H$3,'OIBR4 Mensual'!$H$5)</f>
        <v/>
      </c>
      <c r="D9" s="4">
        <f>_xlfn.NORM.INV(RAND(),'OIBR4 Mensual'!$H$3,'OIBR4 Mensual'!$H$5)</f>
        <v/>
      </c>
      <c r="E9" s="4">
        <f>_xlfn.NORM.INV(RAND(),'OIBR4 Mensual'!$H$3,'OIBR4 Mensual'!$H$5)</f>
        <v/>
      </c>
      <c r="F9" s="4">
        <f>_xlfn.NORM.INV(RAND(),'OIBR4 Mensual'!$H$3,'OIBR4 Mensual'!$H$5)</f>
        <v/>
      </c>
    </row>
    <row r="10">
      <c r="A10" s="12" t="n">
        <v>45108</v>
      </c>
      <c r="B10" s="4">
        <f>_xlfn.NORM.INV(RAND(),'OIBR4 Mensual'!$H$3,'OIBR4 Mensual'!$H$5)</f>
        <v/>
      </c>
      <c r="C10" s="4">
        <f>_xlfn.NORM.INV(RAND(),'OIBR4 Mensual'!$H$3,'OIBR4 Mensual'!$H$5)</f>
        <v/>
      </c>
      <c r="D10" s="4">
        <f>_xlfn.NORM.INV(RAND(),'OIBR4 Mensual'!$H$3,'OIBR4 Mensual'!$H$5)</f>
        <v/>
      </c>
      <c r="E10" s="4">
        <f>_xlfn.NORM.INV(RAND(),'OIBR4 Mensual'!$H$3,'OIBR4 Mensual'!$H$5)</f>
        <v/>
      </c>
      <c r="F10" s="4">
        <f>_xlfn.NORM.INV(RAND(),'OIBR4 Mensual'!$H$3,'OIBR4 Mensual'!$H$5)</f>
        <v/>
      </c>
    </row>
    <row r="11">
      <c r="A11" s="12" t="n">
        <v>45139</v>
      </c>
      <c r="B11" s="4">
        <f>_xlfn.NORM.INV(RAND(),'OIBR4 Mensual'!$H$3,'OIBR4 Mensual'!$H$5)</f>
        <v/>
      </c>
      <c r="C11" s="4">
        <f>_xlfn.NORM.INV(RAND(),'OIBR4 Mensual'!$H$3,'OIBR4 Mensual'!$H$5)</f>
        <v/>
      </c>
      <c r="D11" s="4">
        <f>_xlfn.NORM.INV(RAND(),'OIBR4 Mensual'!$H$3,'OIBR4 Mensual'!$H$5)</f>
        <v/>
      </c>
      <c r="E11" s="4">
        <f>_xlfn.NORM.INV(RAND(),'OIBR4 Mensual'!$H$3,'OIBR4 Mensual'!$H$5)</f>
        <v/>
      </c>
      <c r="F11" s="4">
        <f>_xlfn.NORM.INV(RAND(),'OIBR4 Mensual'!$H$3,'OIBR4 Mensual'!$H$5)</f>
        <v/>
      </c>
    </row>
    <row r="12">
      <c r="A12" s="12" t="n">
        <v>45170</v>
      </c>
      <c r="B12" s="4">
        <f>_xlfn.NORM.INV(RAND(),'OIBR4 Mensual'!$H$3,'OIBR4 Mensual'!$H$5)</f>
        <v/>
      </c>
      <c r="C12" s="4">
        <f>_xlfn.NORM.INV(RAND(),'OIBR4 Mensual'!$H$3,'OIBR4 Mensual'!$H$5)</f>
        <v/>
      </c>
      <c r="D12" s="4">
        <f>_xlfn.NORM.INV(RAND(),'OIBR4 Mensual'!$H$3,'OIBR4 Mensual'!$H$5)</f>
        <v/>
      </c>
      <c r="E12" s="4">
        <f>_xlfn.NORM.INV(RAND(),'OIBR4 Mensual'!$H$3,'OIBR4 Mensual'!$H$5)</f>
        <v/>
      </c>
      <c r="F12" s="4">
        <f>_xlfn.NORM.INV(RAND(),'OIBR4 Mensual'!$H$3,'OIBR4 Mensual'!$H$5)</f>
        <v/>
      </c>
    </row>
    <row r="13">
      <c r="A13" s="12" t="n">
        <v>45200</v>
      </c>
      <c r="B13" s="4">
        <f>_xlfn.NORM.INV(RAND(),'OIBR4 Mensual'!$H$3,'OIBR4 Mensual'!$H$5)</f>
        <v/>
      </c>
      <c r="C13" s="4">
        <f>_xlfn.NORM.INV(RAND(),'OIBR4 Mensual'!$H$3,'OIBR4 Mensual'!$H$5)</f>
        <v/>
      </c>
      <c r="D13" s="4">
        <f>_xlfn.NORM.INV(RAND(),'OIBR4 Mensual'!$H$3,'OIBR4 Mensual'!$H$5)</f>
        <v/>
      </c>
      <c r="E13" s="4">
        <f>_xlfn.NORM.INV(RAND(),'OIBR4 Mensual'!$H$3,'OIBR4 Mensual'!$H$5)</f>
        <v/>
      </c>
      <c r="F13" s="4">
        <f>_xlfn.NORM.INV(RAND(),'OIBR4 Mensual'!$H$3,'OIBR4 Mensual'!$H$5)</f>
        <v/>
      </c>
    </row>
    <row r="14">
      <c r="A14" s="12" t="n">
        <v>45231</v>
      </c>
      <c r="B14" s="4">
        <f>_xlfn.NORM.INV(RAND(),'OIBR4 Mensual'!$H$3,'OIBR4 Mensual'!$H$5)</f>
        <v/>
      </c>
      <c r="C14" s="4">
        <f>_xlfn.NORM.INV(RAND(),'OIBR4 Mensual'!$H$3,'OIBR4 Mensual'!$H$5)</f>
        <v/>
      </c>
      <c r="D14" s="4">
        <f>_xlfn.NORM.INV(RAND(),'OIBR4 Mensual'!$H$3,'OIBR4 Mensual'!$H$5)</f>
        <v/>
      </c>
      <c r="E14" s="4">
        <f>_xlfn.NORM.INV(RAND(),'OIBR4 Mensual'!$H$3,'OIBR4 Mensual'!$H$5)</f>
        <v/>
      </c>
      <c r="F14" s="4">
        <f>_xlfn.NORM.INV(RAND(),'OIBR4 Mensual'!$H$3,'OIBR4 Mensual'!$H$5)</f>
        <v/>
      </c>
    </row>
    <row r="15">
      <c r="A15" s="12" t="n">
        <v>45261</v>
      </c>
      <c r="B15" s="4">
        <f>_xlfn.NORM.INV(RAND(),'OIBR4 Mensual'!$H$3,'OIBR4 Mensual'!$H$5)</f>
        <v/>
      </c>
      <c r="C15" s="4">
        <f>_xlfn.NORM.INV(RAND(),'OIBR4 Mensual'!$H$3,'OIBR4 Mensual'!$H$5)</f>
        <v/>
      </c>
      <c r="D15" s="4">
        <f>_xlfn.NORM.INV(RAND(),'OIBR4 Mensual'!$H$3,'OIBR4 Mensual'!$H$5)</f>
        <v/>
      </c>
      <c r="E15" s="4">
        <f>_xlfn.NORM.INV(RAND(),'OIBR4 Mensual'!$H$3,'OIBR4 Mensual'!$H$5)</f>
        <v/>
      </c>
      <c r="F15" s="4">
        <f>_xlfn.NORM.INV(RAND(),'OIBR4 Mensual'!$H$3,'OIBR4 Mensual'!$H$5)</f>
        <v/>
      </c>
    </row>
    <row r="16">
      <c r="A16" s="12" t="n">
        <v>45292</v>
      </c>
      <c r="B16" s="4">
        <f>_xlfn.NORM.INV(RAND(),'OIBR4 Mensual'!$H$3,'OIBR4 Mensual'!$H$5)</f>
        <v/>
      </c>
      <c r="C16" s="4">
        <f>_xlfn.NORM.INV(RAND(),'OIBR4 Mensual'!$H$3,'OIBR4 Mensual'!$H$5)</f>
        <v/>
      </c>
      <c r="D16" s="4">
        <f>_xlfn.NORM.INV(RAND(),'OIBR4 Mensual'!$H$3,'OIBR4 Mensual'!$H$5)</f>
        <v/>
      </c>
      <c r="E16" s="4">
        <f>_xlfn.NORM.INV(RAND(),'OIBR4 Mensual'!$H$3,'OIBR4 Mensual'!$H$5)</f>
        <v/>
      </c>
      <c r="F16" s="4">
        <f>_xlfn.NORM.INV(RAND(),'OIBR4 Mensual'!$H$3,'OIBR4 Mensual'!$H$5)</f>
        <v/>
      </c>
    </row>
    <row r="17">
      <c r="A17" s="12" t="n">
        <v>45323</v>
      </c>
      <c r="B17" s="4">
        <f>_xlfn.NORM.INV(RAND(),'OIBR4 Mensual'!$H$3,'OIBR4 Mensual'!$H$5)</f>
        <v/>
      </c>
      <c r="C17" s="4">
        <f>_xlfn.NORM.INV(RAND(),'OIBR4 Mensual'!$H$3,'OIBR4 Mensual'!$H$5)</f>
        <v/>
      </c>
      <c r="D17" s="4">
        <f>_xlfn.NORM.INV(RAND(),'OIBR4 Mensual'!$H$3,'OIBR4 Mensual'!$H$5)</f>
        <v/>
      </c>
      <c r="E17" s="4">
        <f>_xlfn.NORM.INV(RAND(),'OIBR4 Mensual'!$H$3,'OIBR4 Mensual'!$H$5)</f>
        <v/>
      </c>
      <c r="F17" s="4">
        <f>_xlfn.NORM.INV(RAND(),'OIBR4 Mensual'!$H$3,'OIBR4 Mensual'!$H$5)</f>
        <v/>
      </c>
    </row>
    <row r="18">
      <c r="A18" s="12" t="n">
        <v>45352</v>
      </c>
      <c r="B18" s="4">
        <f>_xlfn.NORM.INV(RAND(),'OIBR4 Mensual'!$H$3,'OIBR4 Mensual'!$H$5)</f>
        <v/>
      </c>
      <c r="C18" s="4">
        <f>_xlfn.NORM.INV(RAND(),'OIBR4 Mensual'!$H$3,'OIBR4 Mensual'!$H$5)</f>
        <v/>
      </c>
      <c r="D18" s="4">
        <f>_xlfn.NORM.INV(RAND(),'OIBR4 Mensual'!$H$3,'OIBR4 Mensual'!$H$5)</f>
        <v/>
      </c>
      <c r="E18" s="4">
        <f>_xlfn.NORM.INV(RAND(),'OIBR4 Mensual'!$H$3,'OIBR4 Mensual'!$H$5)</f>
        <v/>
      </c>
      <c r="F18" s="4">
        <f>_xlfn.NORM.INV(RAND(),'OIBR4 Mensual'!$H$3,'OIBR4 Mensual'!$H$5)</f>
        <v/>
      </c>
    </row>
    <row r="19">
      <c r="A19" s="12" t="n">
        <v>45383</v>
      </c>
      <c r="B19" s="4">
        <f>_xlfn.NORM.INV(RAND(),'OIBR4 Mensual'!$H$3,'OIBR4 Mensual'!$H$5)</f>
        <v/>
      </c>
      <c r="C19" s="4">
        <f>_xlfn.NORM.INV(RAND(),'OIBR4 Mensual'!$H$3,'OIBR4 Mensual'!$H$5)</f>
        <v/>
      </c>
      <c r="D19" s="4">
        <f>_xlfn.NORM.INV(RAND(),'OIBR4 Mensual'!$H$3,'OIBR4 Mensual'!$H$5)</f>
        <v/>
      </c>
      <c r="E19" s="4">
        <f>_xlfn.NORM.INV(RAND(),'OIBR4 Mensual'!$H$3,'OIBR4 Mensual'!$H$5)</f>
        <v/>
      </c>
      <c r="F19" s="4">
        <f>_xlfn.NORM.INV(RAND(),'OIBR4 Mensual'!$H$3,'OIBR4 Mensual'!$H$5)</f>
        <v/>
      </c>
    </row>
    <row r="20">
      <c r="A20" s="12" t="n">
        <v>45413</v>
      </c>
      <c r="B20" s="4">
        <f>_xlfn.NORM.INV(RAND(),'OIBR4 Mensual'!$H$3,'OIBR4 Mensual'!$H$5)</f>
        <v/>
      </c>
      <c r="C20" s="4">
        <f>_xlfn.NORM.INV(RAND(),'OIBR4 Mensual'!$H$3,'OIBR4 Mensual'!$H$5)</f>
        <v/>
      </c>
      <c r="D20" s="4">
        <f>_xlfn.NORM.INV(RAND(),'OIBR4 Mensual'!$H$3,'OIBR4 Mensual'!$H$5)</f>
        <v/>
      </c>
      <c r="E20" s="4">
        <f>_xlfn.NORM.INV(RAND(),'OIBR4 Mensual'!$H$3,'OIBR4 Mensual'!$H$5)</f>
        <v/>
      </c>
      <c r="F20" s="4">
        <f>_xlfn.NORM.INV(RAND(),'OIBR4 Mensual'!$H$3,'OIBR4 Mensual'!$H$5)</f>
        <v/>
      </c>
    </row>
    <row r="21">
      <c r="A21" s="12" t="n">
        <v>45444</v>
      </c>
      <c r="B21" s="4">
        <f>_xlfn.NORM.INV(RAND(),'OIBR4 Mensual'!$H$3,'OIBR4 Mensual'!$H$5)</f>
        <v/>
      </c>
      <c r="C21" s="4">
        <f>_xlfn.NORM.INV(RAND(),'OIBR4 Mensual'!$H$3,'OIBR4 Mensual'!$H$5)</f>
        <v/>
      </c>
      <c r="D21" s="4">
        <f>_xlfn.NORM.INV(RAND(),'OIBR4 Mensual'!$H$3,'OIBR4 Mensual'!$H$5)</f>
        <v/>
      </c>
      <c r="E21" s="4">
        <f>_xlfn.NORM.INV(RAND(),'OIBR4 Mensual'!$H$3,'OIBR4 Mensual'!$H$5)</f>
        <v/>
      </c>
      <c r="F21" s="4">
        <f>_xlfn.NORM.INV(RAND(),'OIBR4 Mensual'!$H$3,'OIBR4 Mensual'!$H$5)</f>
        <v/>
      </c>
    </row>
    <row r="22">
      <c r="A22" s="12" t="n">
        <v>45474</v>
      </c>
      <c r="B22" s="4">
        <f>_xlfn.NORM.INV(RAND(),'OIBR4 Mensual'!$H$3,'OIBR4 Mensual'!$H$5)</f>
        <v/>
      </c>
      <c r="C22" s="4">
        <f>_xlfn.NORM.INV(RAND(),'OIBR4 Mensual'!$H$3,'OIBR4 Mensual'!$H$5)</f>
        <v/>
      </c>
      <c r="D22" s="4">
        <f>_xlfn.NORM.INV(RAND(),'OIBR4 Mensual'!$H$3,'OIBR4 Mensual'!$H$5)</f>
        <v/>
      </c>
      <c r="E22" s="4">
        <f>_xlfn.NORM.INV(RAND(),'OIBR4 Mensual'!$H$3,'OIBR4 Mensual'!$H$5)</f>
        <v/>
      </c>
      <c r="F22" s="4">
        <f>_xlfn.NORM.INV(RAND(),'OIBR4 Mensual'!$H$3,'OIBR4 Mensual'!$H$5)</f>
        <v/>
      </c>
    </row>
    <row r="23">
      <c r="A23" s="12" t="n">
        <v>45505</v>
      </c>
      <c r="B23" s="4">
        <f>_xlfn.NORM.INV(RAND(),'OIBR4 Mensual'!$H$3,'OIBR4 Mensual'!$H$5)</f>
        <v/>
      </c>
      <c r="C23" s="4">
        <f>_xlfn.NORM.INV(RAND(),'OIBR4 Mensual'!$H$3,'OIBR4 Mensual'!$H$5)</f>
        <v/>
      </c>
      <c r="D23" s="4">
        <f>_xlfn.NORM.INV(RAND(),'OIBR4 Mensual'!$H$3,'OIBR4 Mensual'!$H$5)</f>
        <v/>
      </c>
      <c r="E23" s="4">
        <f>_xlfn.NORM.INV(RAND(),'OIBR4 Mensual'!$H$3,'OIBR4 Mensual'!$H$5)</f>
        <v/>
      </c>
      <c r="F23" s="4">
        <f>_xlfn.NORM.INV(RAND(),'OIBR4 Mensual'!$H$3,'OIBR4 Mensual'!$H$5)</f>
        <v/>
      </c>
    </row>
    <row r="24">
      <c r="A24" s="12" t="n">
        <v>45536</v>
      </c>
      <c r="B24" s="4">
        <f>_xlfn.NORM.INV(RAND(),'OIBR4 Mensual'!$H$3,'OIBR4 Mensual'!$H$5)</f>
        <v/>
      </c>
      <c r="C24" s="4">
        <f>_xlfn.NORM.INV(RAND(),'OIBR4 Mensual'!$H$3,'OIBR4 Mensual'!$H$5)</f>
        <v/>
      </c>
      <c r="D24" s="4">
        <f>_xlfn.NORM.INV(RAND(),'OIBR4 Mensual'!$H$3,'OIBR4 Mensual'!$H$5)</f>
        <v/>
      </c>
      <c r="E24" s="4">
        <f>_xlfn.NORM.INV(RAND(),'OIBR4 Mensual'!$H$3,'OIBR4 Mensual'!$H$5)</f>
        <v/>
      </c>
      <c r="F24" s="4">
        <f>_xlfn.NORM.INV(RAND(),'OIBR4 Mensual'!$H$3,'OIBR4 Mensual'!$H$5)</f>
        <v/>
      </c>
    </row>
    <row r="25">
      <c r="A25" s="12" t="n">
        <v>45566</v>
      </c>
      <c r="B25" s="4">
        <f>_xlfn.NORM.INV(RAND(),'OIBR4 Mensual'!$H$3,'OIBR4 Mensual'!$H$5)</f>
        <v/>
      </c>
      <c r="C25" s="4">
        <f>_xlfn.NORM.INV(RAND(),'OIBR4 Mensual'!$H$3,'OIBR4 Mensual'!$H$5)</f>
        <v/>
      </c>
      <c r="D25" s="4">
        <f>_xlfn.NORM.INV(RAND(),'OIBR4 Mensual'!$H$3,'OIBR4 Mensual'!$H$5)</f>
        <v/>
      </c>
      <c r="E25" s="4">
        <f>_xlfn.NORM.INV(RAND(),'OIBR4 Mensual'!$H$3,'OIBR4 Mensual'!$H$5)</f>
        <v/>
      </c>
      <c r="F25" s="4">
        <f>_xlfn.NORM.INV(RAND(),'OIBR4 Mensual'!$H$3,'OIBR4 Mensual'!$H$5)</f>
        <v/>
      </c>
    </row>
    <row r="26">
      <c r="A26" s="12" t="n">
        <v>45597</v>
      </c>
      <c r="B26" s="4">
        <f>_xlfn.NORM.INV(RAND(),'OIBR4 Mensual'!$H$3,'OIBR4 Mensual'!$H$5)</f>
        <v/>
      </c>
      <c r="C26" s="4">
        <f>_xlfn.NORM.INV(RAND(),'OIBR4 Mensual'!$H$3,'OIBR4 Mensual'!$H$5)</f>
        <v/>
      </c>
      <c r="D26" s="4">
        <f>_xlfn.NORM.INV(RAND(),'OIBR4 Mensual'!$H$3,'OIBR4 Mensual'!$H$5)</f>
        <v/>
      </c>
      <c r="E26" s="4">
        <f>_xlfn.NORM.INV(RAND(),'OIBR4 Mensual'!$H$3,'OIBR4 Mensual'!$H$5)</f>
        <v/>
      </c>
      <c r="F26" s="4">
        <f>_xlfn.NORM.INV(RAND(),'OIBR4 Mensual'!$H$3,'OIBR4 Mensual'!$H$5)</f>
        <v/>
      </c>
      <c r="H26" s="3" t="inlineStr">
        <is>
          <t>Se simularon 5 escenarios de retornos mensuales para 36 meses (feb-2023 a ene-2026). Cada retorno se sortea de forma independiente desde una Normal con media −0,38% y desviación estándar 21,56%, los parámetros históricos mensuales de OIBR4. Como todos parten de los mismos supuestos pero usan números aleatorios distintos, las trayectorias se separan, con meses de alzas fuertes y de caídas, sin un patrón que se repita. Esto refleja la hipótesis de paseo aleatorio: el retorno de un mes no depende del anterior y el pasado no permite predecir el futuro. El gráfico muestra el abanico de resultados posibles, no una predicción. Los valores cambian cada vez que Excel recalcula (F9), porque usan ALEATORIO().</t>
        </is>
      </c>
    </row>
    <row r="27">
      <c r="A27" s="12" t="n">
        <v>45627</v>
      </c>
      <c r="B27" s="4">
        <f>_xlfn.NORM.INV(RAND(),'OIBR4 Mensual'!$H$3,'OIBR4 Mensual'!$H$5)</f>
        <v/>
      </c>
      <c r="C27" s="4">
        <f>_xlfn.NORM.INV(RAND(),'OIBR4 Mensual'!$H$3,'OIBR4 Mensual'!$H$5)</f>
        <v/>
      </c>
      <c r="D27" s="4">
        <f>_xlfn.NORM.INV(RAND(),'OIBR4 Mensual'!$H$3,'OIBR4 Mensual'!$H$5)</f>
        <v/>
      </c>
      <c r="E27" s="4">
        <f>_xlfn.NORM.INV(RAND(),'OIBR4 Mensual'!$H$3,'OIBR4 Mensual'!$H$5)</f>
        <v/>
      </c>
      <c r="F27" s="4">
        <f>_xlfn.NORM.INV(RAND(),'OIBR4 Mensual'!$H$3,'OIBR4 Mensual'!$H$5)</f>
        <v/>
      </c>
    </row>
    <row r="28">
      <c r="A28" s="12" t="n">
        <v>45658</v>
      </c>
      <c r="B28" s="4">
        <f>_xlfn.NORM.INV(RAND(),'OIBR4 Mensual'!$H$3,'OIBR4 Mensual'!$H$5)</f>
        <v/>
      </c>
      <c r="C28" s="4">
        <f>_xlfn.NORM.INV(RAND(),'OIBR4 Mensual'!$H$3,'OIBR4 Mensual'!$H$5)</f>
        <v/>
      </c>
      <c r="D28" s="4">
        <f>_xlfn.NORM.INV(RAND(),'OIBR4 Mensual'!$H$3,'OIBR4 Mensual'!$H$5)</f>
        <v/>
      </c>
      <c r="E28" s="4">
        <f>_xlfn.NORM.INV(RAND(),'OIBR4 Mensual'!$H$3,'OIBR4 Mensual'!$H$5)</f>
        <v/>
      </c>
      <c r="F28" s="4">
        <f>_xlfn.NORM.INV(RAND(),'OIBR4 Mensual'!$H$3,'OIBR4 Mensual'!$H$5)</f>
        <v/>
      </c>
    </row>
    <row r="29">
      <c r="A29" s="12" t="n">
        <v>45689</v>
      </c>
      <c r="B29" s="4">
        <f>_xlfn.NORM.INV(RAND(),'OIBR4 Mensual'!$H$3,'OIBR4 Mensual'!$H$5)</f>
        <v/>
      </c>
      <c r="C29" s="4">
        <f>_xlfn.NORM.INV(RAND(),'OIBR4 Mensual'!$H$3,'OIBR4 Mensual'!$H$5)</f>
        <v/>
      </c>
      <c r="D29" s="4">
        <f>_xlfn.NORM.INV(RAND(),'OIBR4 Mensual'!$H$3,'OIBR4 Mensual'!$H$5)</f>
        <v/>
      </c>
      <c r="E29" s="4">
        <f>_xlfn.NORM.INV(RAND(),'OIBR4 Mensual'!$H$3,'OIBR4 Mensual'!$H$5)</f>
        <v/>
      </c>
      <c r="F29" s="4">
        <f>_xlfn.NORM.INV(RAND(),'OIBR4 Mensual'!$H$3,'OIBR4 Mensual'!$H$5)</f>
        <v/>
      </c>
    </row>
    <row r="30">
      <c r="A30" s="12" t="n">
        <v>45717</v>
      </c>
      <c r="B30" s="4">
        <f>_xlfn.NORM.INV(RAND(),'OIBR4 Mensual'!$H$3,'OIBR4 Mensual'!$H$5)</f>
        <v/>
      </c>
      <c r="C30" s="4">
        <f>_xlfn.NORM.INV(RAND(),'OIBR4 Mensual'!$H$3,'OIBR4 Mensual'!$H$5)</f>
        <v/>
      </c>
      <c r="D30" s="4">
        <f>_xlfn.NORM.INV(RAND(),'OIBR4 Mensual'!$H$3,'OIBR4 Mensual'!$H$5)</f>
        <v/>
      </c>
      <c r="E30" s="4">
        <f>_xlfn.NORM.INV(RAND(),'OIBR4 Mensual'!$H$3,'OIBR4 Mensual'!$H$5)</f>
        <v/>
      </c>
      <c r="F30" s="4">
        <f>_xlfn.NORM.INV(RAND(),'OIBR4 Mensual'!$H$3,'OIBR4 Mensual'!$H$5)</f>
        <v/>
      </c>
    </row>
    <row r="31">
      <c r="A31" s="12" t="n">
        <v>45748</v>
      </c>
      <c r="B31" s="4">
        <f>_xlfn.NORM.INV(RAND(),'OIBR4 Mensual'!$H$3,'OIBR4 Mensual'!$H$5)</f>
        <v/>
      </c>
      <c r="C31" s="4">
        <f>_xlfn.NORM.INV(RAND(),'OIBR4 Mensual'!$H$3,'OIBR4 Mensual'!$H$5)</f>
        <v/>
      </c>
      <c r="D31" s="4">
        <f>_xlfn.NORM.INV(RAND(),'OIBR4 Mensual'!$H$3,'OIBR4 Mensual'!$H$5)</f>
        <v/>
      </c>
      <c r="E31" s="4">
        <f>_xlfn.NORM.INV(RAND(),'OIBR4 Mensual'!$H$3,'OIBR4 Mensual'!$H$5)</f>
        <v/>
      </c>
      <c r="F31" s="4">
        <f>_xlfn.NORM.INV(RAND(),'OIBR4 Mensual'!$H$3,'OIBR4 Mensual'!$H$5)</f>
        <v/>
      </c>
    </row>
    <row r="32">
      <c r="A32" s="12" t="n">
        <v>45778</v>
      </c>
      <c r="B32" s="4">
        <f>_xlfn.NORM.INV(RAND(),'OIBR4 Mensual'!$H$3,'OIBR4 Mensual'!$H$5)</f>
        <v/>
      </c>
      <c r="C32" s="4">
        <f>_xlfn.NORM.INV(RAND(),'OIBR4 Mensual'!$H$3,'OIBR4 Mensual'!$H$5)</f>
        <v/>
      </c>
      <c r="D32" s="4">
        <f>_xlfn.NORM.INV(RAND(),'OIBR4 Mensual'!$H$3,'OIBR4 Mensual'!$H$5)</f>
        <v/>
      </c>
      <c r="E32" s="4">
        <f>_xlfn.NORM.INV(RAND(),'OIBR4 Mensual'!$H$3,'OIBR4 Mensual'!$H$5)</f>
        <v/>
      </c>
      <c r="F32" s="4">
        <f>_xlfn.NORM.INV(RAND(),'OIBR4 Mensual'!$H$3,'OIBR4 Mensual'!$H$5)</f>
        <v/>
      </c>
    </row>
    <row r="33">
      <c r="A33" s="12" t="n">
        <v>45809</v>
      </c>
      <c r="B33" s="4">
        <f>_xlfn.NORM.INV(RAND(),'OIBR4 Mensual'!$H$3,'OIBR4 Mensual'!$H$5)</f>
        <v/>
      </c>
      <c r="C33" s="4">
        <f>_xlfn.NORM.INV(RAND(),'OIBR4 Mensual'!$H$3,'OIBR4 Mensual'!$H$5)</f>
        <v/>
      </c>
      <c r="D33" s="4">
        <f>_xlfn.NORM.INV(RAND(),'OIBR4 Mensual'!$H$3,'OIBR4 Mensual'!$H$5)</f>
        <v/>
      </c>
      <c r="E33" s="4">
        <f>_xlfn.NORM.INV(RAND(),'OIBR4 Mensual'!$H$3,'OIBR4 Mensual'!$H$5)</f>
        <v/>
      </c>
      <c r="F33" s="4">
        <f>_xlfn.NORM.INV(RAND(),'OIBR4 Mensual'!$H$3,'OIBR4 Mensual'!$H$5)</f>
        <v/>
      </c>
    </row>
    <row r="34">
      <c r="A34" s="12" t="n">
        <v>45839</v>
      </c>
      <c r="B34" s="4">
        <f>_xlfn.NORM.INV(RAND(),'OIBR4 Mensual'!$H$3,'OIBR4 Mensual'!$H$5)</f>
        <v/>
      </c>
      <c r="C34" s="4">
        <f>_xlfn.NORM.INV(RAND(),'OIBR4 Mensual'!$H$3,'OIBR4 Mensual'!$H$5)</f>
        <v/>
      </c>
      <c r="D34" s="4">
        <f>_xlfn.NORM.INV(RAND(),'OIBR4 Mensual'!$H$3,'OIBR4 Mensual'!$H$5)</f>
        <v/>
      </c>
      <c r="E34" s="4">
        <f>_xlfn.NORM.INV(RAND(),'OIBR4 Mensual'!$H$3,'OIBR4 Mensual'!$H$5)</f>
        <v/>
      </c>
      <c r="F34" s="4">
        <f>_xlfn.NORM.INV(RAND(),'OIBR4 Mensual'!$H$3,'OIBR4 Mensual'!$H$5)</f>
        <v/>
      </c>
    </row>
    <row r="35">
      <c r="A35" s="12" t="n">
        <v>45870</v>
      </c>
      <c r="B35" s="4">
        <f>_xlfn.NORM.INV(RAND(),'OIBR4 Mensual'!$H$3,'OIBR4 Mensual'!$H$5)</f>
        <v/>
      </c>
      <c r="C35" s="4">
        <f>_xlfn.NORM.INV(RAND(),'OIBR4 Mensual'!$H$3,'OIBR4 Mensual'!$H$5)</f>
        <v/>
      </c>
      <c r="D35" s="4">
        <f>_xlfn.NORM.INV(RAND(),'OIBR4 Mensual'!$H$3,'OIBR4 Mensual'!$H$5)</f>
        <v/>
      </c>
      <c r="E35" s="4">
        <f>_xlfn.NORM.INV(RAND(),'OIBR4 Mensual'!$H$3,'OIBR4 Mensual'!$H$5)</f>
        <v/>
      </c>
      <c r="F35" s="4">
        <f>_xlfn.NORM.INV(RAND(),'OIBR4 Mensual'!$H$3,'OIBR4 Mensual'!$H$5)</f>
        <v/>
      </c>
    </row>
    <row r="36">
      <c r="A36" s="12" t="n">
        <v>45901</v>
      </c>
      <c r="B36" s="4">
        <f>_xlfn.NORM.INV(RAND(),'OIBR4 Mensual'!$H$3,'OIBR4 Mensual'!$H$5)</f>
        <v/>
      </c>
      <c r="C36" s="4">
        <f>_xlfn.NORM.INV(RAND(),'OIBR4 Mensual'!$H$3,'OIBR4 Mensual'!$H$5)</f>
        <v/>
      </c>
      <c r="D36" s="4">
        <f>_xlfn.NORM.INV(RAND(),'OIBR4 Mensual'!$H$3,'OIBR4 Mensual'!$H$5)</f>
        <v/>
      </c>
      <c r="E36" s="4">
        <f>_xlfn.NORM.INV(RAND(),'OIBR4 Mensual'!$H$3,'OIBR4 Mensual'!$H$5)</f>
        <v/>
      </c>
      <c r="F36" s="4">
        <f>_xlfn.NORM.INV(RAND(),'OIBR4 Mensual'!$H$3,'OIBR4 Mensual'!$H$5)</f>
        <v/>
      </c>
    </row>
    <row r="37">
      <c r="A37" s="12" t="n">
        <v>45931</v>
      </c>
      <c r="B37" s="4">
        <f>_xlfn.NORM.INV(RAND(),'OIBR4 Mensual'!$H$3,'OIBR4 Mensual'!$H$5)</f>
        <v/>
      </c>
      <c r="C37" s="4">
        <f>_xlfn.NORM.INV(RAND(),'OIBR4 Mensual'!$H$3,'OIBR4 Mensual'!$H$5)</f>
        <v/>
      </c>
      <c r="D37" s="4">
        <f>_xlfn.NORM.INV(RAND(),'OIBR4 Mensual'!$H$3,'OIBR4 Mensual'!$H$5)</f>
        <v/>
      </c>
      <c r="E37" s="4">
        <f>_xlfn.NORM.INV(RAND(),'OIBR4 Mensual'!$H$3,'OIBR4 Mensual'!$H$5)</f>
        <v/>
      </c>
      <c r="F37" s="4">
        <f>_xlfn.NORM.INV(RAND(),'OIBR4 Mensual'!$H$3,'OIBR4 Mensual'!$H$5)</f>
        <v/>
      </c>
    </row>
    <row r="38">
      <c r="A38" s="12" t="n">
        <v>45962</v>
      </c>
      <c r="B38" s="4">
        <f>_xlfn.NORM.INV(RAND(),'OIBR4 Mensual'!$H$3,'OIBR4 Mensual'!$H$5)</f>
        <v/>
      </c>
      <c r="C38" s="4">
        <f>_xlfn.NORM.INV(RAND(),'OIBR4 Mensual'!$H$3,'OIBR4 Mensual'!$H$5)</f>
        <v/>
      </c>
      <c r="D38" s="4">
        <f>_xlfn.NORM.INV(RAND(),'OIBR4 Mensual'!$H$3,'OIBR4 Mensual'!$H$5)</f>
        <v/>
      </c>
      <c r="E38" s="4">
        <f>_xlfn.NORM.INV(RAND(),'OIBR4 Mensual'!$H$3,'OIBR4 Mensual'!$H$5)</f>
        <v/>
      </c>
      <c r="F38" s="4">
        <f>_xlfn.NORM.INV(RAND(),'OIBR4 Mensual'!$H$3,'OIBR4 Mensual'!$H$5)</f>
        <v/>
      </c>
    </row>
    <row r="39">
      <c r="A39" s="12" t="n">
        <v>45992</v>
      </c>
      <c r="B39" s="4">
        <f>_xlfn.NORM.INV(RAND(),'OIBR4 Mensual'!$H$3,'OIBR4 Mensual'!$H$5)</f>
        <v/>
      </c>
      <c r="C39" s="4">
        <f>_xlfn.NORM.INV(RAND(),'OIBR4 Mensual'!$H$3,'OIBR4 Mensual'!$H$5)</f>
        <v/>
      </c>
      <c r="D39" s="4">
        <f>_xlfn.NORM.INV(RAND(),'OIBR4 Mensual'!$H$3,'OIBR4 Mensual'!$H$5)</f>
        <v/>
      </c>
      <c r="E39" s="4">
        <f>_xlfn.NORM.INV(RAND(),'OIBR4 Mensual'!$H$3,'OIBR4 Mensual'!$H$5)</f>
        <v/>
      </c>
      <c r="F39" s="4">
        <f>_xlfn.NORM.INV(RAND(),'OIBR4 Mensual'!$H$3,'OIBR4 Mensual'!$H$5)</f>
        <v/>
      </c>
    </row>
    <row r="40">
      <c r="A40" s="12" t="n">
        <v>46023</v>
      </c>
      <c r="B40" s="4">
        <f>_xlfn.NORM.INV(RAND(),'OIBR4 Mensual'!$H$3,'OIBR4 Mensual'!$H$5)</f>
        <v/>
      </c>
      <c r="C40" s="4">
        <f>_xlfn.NORM.INV(RAND(),'OIBR4 Mensual'!$H$3,'OIBR4 Mensual'!$H$5)</f>
        <v/>
      </c>
      <c r="D40" s="4">
        <f>_xlfn.NORM.INV(RAND(),'OIBR4 Mensual'!$H$3,'OIBR4 Mensual'!$H$5)</f>
        <v/>
      </c>
      <c r="E40" s="4">
        <f>_xlfn.NORM.INV(RAND(),'OIBR4 Mensual'!$H$3,'OIBR4 Mensual'!$H$5)</f>
        <v/>
      </c>
      <c r="F40" s="4">
        <f>_xlfn.NORM.INV(RAND(),'OIBR4 Mensual'!$H$3,'OIBR4 Mensual'!$H$5)</f>
        <v/>
      </c>
    </row>
  </sheetData>
  <mergeCells count="1">
    <mergeCell ref="H26:S3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selection activeCell="A1" sqref="A1"/>
    </sheetView>
  </sheetViews>
  <sheetFormatPr baseColWidth="8" defaultRowHeight="15"/>
  <cols>
    <col width="28" customWidth="1" min="2" max="2"/>
    <col width="15" customWidth="1" min="3" max="3"/>
    <col width="15" customWidth="1" min="4" max="4"/>
    <col width="22" customWidth="1" min="5" max="5"/>
  </cols>
  <sheetData>
    <row r="2">
      <c r="C2" s="2" t="inlineStr">
        <is>
          <t>Retorno real</t>
        </is>
      </c>
      <c r="D2" s="2" t="inlineStr">
        <is>
          <t>Retorno real ln</t>
        </is>
      </c>
      <c r="G2" s="3" t="inlineStr">
        <is>
          <t>Retornos anuales 2015-2022 (8 años; 2015 con 11 meses y 2023 excluido por estar incompleto). Retorno esperado anual: −5,38% en base simple y −28,56% en base ln. Riesgo anual: desviación estándar de 69,74% (simple) y 72,03% (ln), con varianzas de 0,4864 y 0,5189. Hubo años de +129,3% (2020) y de −63,7% (2018). Error estándar: 24,66% (simple) y 25,47% (ln), alto porque el promedio se estima con solo 8 años. Intervalo de confianza al 95%: de −53,71% a 42,95% (simple) y de −78,48% a 21,36% (ln). Como incluye el 0, no se puede afirmar con 95% de confianza que el retorno esperado anual de OIBR4 sea distinto de cero, aunque el precio haya caído 90% en el período. Con 8 observaciones, usar la t de Student (2,36) en vez de 1,96 daría un intervalo aún más ancho. Además, la desviación estándar mensual × √12 ≈ 74,7% es cercana a la anual (69,7%), coherente con retornos independientes.</t>
        </is>
      </c>
    </row>
    <row r="3">
      <c r="B3" t="n">
        <v>2015</v>
      </c>
      <c r="C3" s="4">
        <f>PRODUCT('OIBR4 Mensual'!D5:D15)-1</f>
        <v/>
      </c>
      <c r="D3" s="4">
        <f>SUM('OIBR4 Mensual'!E5:E15)</f>
        <v/>
      </c>
    </row>
    <row r="4">
      <c r="B4" t="n">
        <v>2016</v>
      </c>
      <c r="C4" s="4">
        <f>PRODUCT('OIBR4 Mensual'!D16:D27)-1</f>
        <v/>
      </c>
      <c r="D4" s="4">
        <f>SUM('OIBR4 Mensual'!E16:E27)</f>
        <v/>
      </c>
    </row>
    <row r="5">
      <c r="B5" t="n">
        <v>2017</v>
      </c>
      <c r="C5" s="4">
        <f>PRODUCT('OIBR4 Mensual'!D28:D39)-1</f>
        <v/>
      </c>
      <c r="D5" s="4">
        <f>SUM('OIBR4 Mensual'!E28:E39)</f>
        <v/>
      </c>
    </row>
    <row r="6">
      <c r="B6" t="n">
        <v>2018</v>
      </c>
      <c r="C6" s="4">
        <f>PRODUCT('OIBR4 Mensual'!D40:D51)-1</f>
        <v/>
      </c>
      <c r="D6" s="4">
        <f>SUM('OIBR4 Mensual'!E40:E51)</f>
        <v/>
      </c>
    </row>
    <row r="7">
      <c r="B7" t="n">
        <v>2019</v>
      </c>
      <c r="C7" s="4">
        <f>PRODUCT('OIBR4 Mensual'!D52:D63)-1</f>
        <v/>
      </c>
      <c r="D7" s="4">
        <f>SUM('OIBR4 Mensual'!E52:E63)</f>
        <v/>
      </c>
    </row>
    <row r="8">
      <c r="B8" t="n">
        <v>2020</v>
      </c>
      <c r="C8" s="4">
        <f>PRODUCT('OIBR4 Mensual'!D64:D75)-1</f>
        <v/>
      </c>
      <c r="D8" s="4">
        <f>SUM('OIBR4 Mensual'!E64:E75)</f>
        <v/>
      </c>
    </row>
    <row r="9">
      <c r="B9" t="n">
        <v>2021</v>
      </c>
      <c r="C9" s="4">
        <f>PRODUCT('OIBR4 Mensual'!D76:D87)-1</f>
        <v/>
      </c>
      <c r="D9" s="4">
        <f>SUM('OIBR4 Mensual'!E76:E87)</f>
        <v/>
      </c>
    </row>
    <row r="10">
      <c r="B10" t="n">
        <v>2022</v>
      </c>
      <c r="C10" s="4">
        <f>PRODUCT('OIBR4 Mensual'!D88:D99)-1</f>
        <v/>
      </c>
      <c r="D10" s="4">
        <f>SUM('OIBR4 Mensual'!E88:E99)</f>
        <v/>
      </c>
    </row>
    <row r="11">
      <c r="B11" t="n">
        <v>2023</v>
      </c>
      <c r="C11" s="4">
        <f>PRODUCT('OIBR4 Mensual'!D100:D100)-1</f>
        <v/>
      </c>
      <c r="D11" s="4">
        <f>SUM('OIBR4 Mensual'!E100:E100)</f>
        <v/>
      </c>
      <c r="E11" t="inlineStr">
        <is>
          <t>Excluido: solo 1 mes</t>
        </is>
      </c>
    </row>
    <row r="12"/>
    <row r="13">
      <c r="B13" t="inlineStr">
        <is>
          <t>Retorno esperado</t>
        </is>
      </c>
      <c r="C13" s="4">
        <f>AVERAGE(C3:C10)</f>
        <v/>
      </c>
      <c r="D13" s="4">
        <f>AVERAGE(D3:D10)</f>
        <v/>
      </c>
    </row>
    <row r="14">
      <c r="B14" t="inlineStr">
        <is>
          <t>VAR</t>
        </is>
      </c>
      <c r="C14" s="10">
        <f>_xlfn.VAR.S(C3:C10)</f>
        <v/>
      </c>
      <c r="D14" s="10">
        <f>_xlfn.VAR.S(D3:D10)</f>
        <v/>
      </c>
    </row>
    <row r="15">
      <c r="B15" t="inlineStr">
        <is>
          <t>SD</t>
        </is>
      </c>
      <c r="C15" s="4">
        <f>SQRT(C14)</f>
        <v/>
      </c>
      <c r="D15" s="4">
        <f>SQRT(D14)</f>
        <v/>
      </c>
    </row>
    <row r="16"/>
    <row r="17">
      <c r="B17" t="inlineStr">
        <is>
          <t>Error estándar</t>
        </is>
      </c>
      <c r="C17" s="4">
        <f>C15/SQRT(COUNT(C3:C10))</f>
        <v/>
      </c>
      <c r="D17" s="4">
        <f>D15/SQRT(COUNT(D3:D10))</f>
        <v/>
      </c>
    </row>
    <row r="18"/>
    <row r="19">
      <c r="B19" t="inlineStr">
        <is>
          <t>Intervalo de confianza (95%)</t>
        </is>
      </c>
      <c r="C19" s="4">
        <f>C13+(1.96*C17)</f>
        <v/>
      </c>
      <c r="D19" s="4">
        <f>D13+(1.96*D17)</f>
        <v/>
      </c>
    </row>
    <row r="20">
      <c r="C20" s="4">
        <f>C13-(1.96*C17)</f>
        <v/>
      </c>
      <c r="D20" s="4">
        <f>D13-(1.96*D17)</f>
        <v/>
      </c>
    </row>
    <row r="21"/>
    <row r="22"/>
    <row r="23"/>
    <row r="24"/>
  </sheetData>
  <mergeCells count="1">
    <mergeCell ref="G2:P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2026-10-19T15:27:04Z</dcterms:created>
  <dcterms:modified xsi:type="dcterms:W3CDTF">2026-10-19T15:27:04Z</dcterms:modified>
</cp:coreProperties>
</file>