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_Inicio" sheetId="1" r:id="rId1"/>
    <sheet name="1_Precios" sheetId="2" r:id="rId2"/>
    <sheet name="2_Retornos" sheetId="3" r:id="rId3"/>
    <sheet name="3_Cov_Correl" sheetId="4" r:id="rId4"/>
    <sheet name="4_Frontera_2A" sheetId="5" r:id="rId5"/>
    <sheet name="5_Cartera" sheetId="6" r:id="rId6"/>
    <sheet name="6_Beta_CAPM" sheetId="7" r:id="rId7"/>
    <sheet name="7_Tecnico" sheetId="8" r:id="rId8"/>
    <sheet name="8_Drawdown" sheetId="9" r:id="rId9"/>
    <sheet name="9_Simulador_CCI" sheetId="10" r:id="rId10"/>
    <sheet name="10_Torneo" sheetId="11" r:id="rId11"/>
    <sheet name="11_Screener" sheetId="12" r:id="rId12"/>
    <sheet name="12_Calendario" sheetId="13" r:id="rId13"/>
    <sheet name="13_Plan_Estudio" sheetId="14" r:id="rId14"/>
  </sheets>
  <calcPr calcId="124519" fullCalcOnLoad="1"/>
</workbook>
</file>

<file path=xl/sharedStrings.xml><?xml version="1.0" encoding="utf-8"?>
<sst xmlns="http://schemas.openxmlformats.org/spreadsheetml/2006/main" count="481" uniqueCount="346">
  <si>
    <t>LABORATORIO CCI - Concurso Carteras de Inversion</t>
  </si>
  <si>
    <t>Herramientas para estudiar y practicar teoria de portafolios y gestionar tu cartera durante el concurso.</t>
  </si>
  <si>
    <t>COLORES</t>
  </si>
  <si>
    <t>Celda amarilla</t>
  </si>
  <si>
    <t>Dato que TU ingresas o puedes cambiar.</t>
  </si>
  <si>
    <t>Celda verde</t>
  </si>
  <si>
    <t>Resultado clave calculado con formulas (no escribir encima).</t>
  </si>
  <si>
    <t>Texto rojo</t>
  </si>
  <si>
    <t>Alertas automaticas (caja negativa, concentracion excesiva, etc.).</t>
  </si>
  <si>
    <t>HOJA</t>
  </si>
  <si>
    <t>PARA QUE SIRVE</t>
  </si>
  <si>
    <t>1_Precios</t>
  </si>
  <si>
    <t>Precios diarios de 5 acciones y el IPSA. DATOS FICTICIOS para practicar: reemplazalos por datos reales (ver abajo).</t>
  </si>
  <si>
    <t>2_Retornos</t>
  </si>
  <si>
    <t>Retornos diarios, retorno y volatilidad anualizados, Sharpe, retorno acumulado.</t>
  </si>
  <si>
    <t>3_Cov_Correl</t>
  </si>
  <si>
    <t>Matriz de covarianzas y correlaciones (con mapa de calor). Base de la diversificacion.</t>
  </si>
  <si>
    <t>4_Frontera_2A</t>
  </si>
  <si>
    <t>Frontera eficiente con 2 activos: cambia la correlacion y mira como cambia el riesgo. Portafolio de minima varianza.</t>
  </si>
  <si>
    <t>5_Cartera</t>
  </si>
  <si>
    <t>Tu cartera de N acciones: pesos editables, retorno, riesgo, Sharpe, beta, Treynor, alfa de Jensen, tracking error, drawdown. Optimizable con Solver.</t>
  </si>
  <si>
    <t>6_Beta_CAPM</t>
  </si>
  <si>
    <t>Beta de cada accion vs IPSA (regresion), R2 y retorno exigido por CAPM.</t>
  </si>
  <si>
    <t>7_Tecnico</t>
  </si>
  <si>
    <t>Analisis tecnico de la accion que elijas: medias moviles 20/50, cruces, RSI(14) y bandas de Bollinger.</t>
  </si>
  <si>
    <t>8_Drawdown</t>
  </si>
  <si>
    <t>Caida maxima desde el peak de cada activo.</t>
  </si>
  <si>
    <t>9_Simulador_CCI</t>
  </si>
  <si>
    <t>Tu cuaderno de operaciones del concurso: registra compras/ventas, cobra la comision, calcula caja, posiciones, rentabilidad vs IPSA y alertas.</t>
  </si>
  <si>
    <t>10_Torneo</t>
  </si>
  <si>
    <t>Costos de rotar la cartera y probabilidad de alcanzar una rentabilidad objetivo segun la volatilidad (logica de torneo).</t>
  </si>
  <si>
    <t>11_Screener</t>
  </si>
  <si>
    <t>Plantilla de analisis fundamental: P/U, P/VL, dividend yield, EV/EBITDA, ROE, momentum y puntaje compuesto.</t>
  </si>
  <si>
    <t>12_Calendario</t>
  </si>
  <si>
    <t>Planificador semanal del concurso + checklist antes de cada operacion.</t>
  </si>
  <si>
    <t>13_Plan_Estudio</t>
  </si>
  <si>
    <t>Plan de 21 dias para dominar el tema, con avance automatico.</t>
  </si>
  <si>
    <t>COMO PONER DATOS REALES</t>
  </si>
  <si>
    <t>1) Yahoo Finance: busca el ticker con sufijo .SN (ej. SQM-B.SN, CHILE.SN, FALABELLA.SN). Indice: ^IPSA. Pestana "Historical Data" &gt; Descargar.</t>
  </si>
  <si>
    <t>2) Alternativas: Investing.com (Chile), TradingView, terminal de tu corredora o el sitio de la Bolsa de Santiago / nuam.</t>
  </si>
  <si>
    <t>3) Pega los precios de CIERRE (ajustados por dividendos si vas a medir retorno total) en 1_Precios, misma estructura (columna = accion, fila = fecha).</t>
  </si>
  <si>
    <t>4) Cambia los nombres de la fila 1 de 1_Precios por los tickers reales: todas las hojas se actualizan solas.</t>
  </si>
  <si>
    <t>5) Si cambias el numero de filas, ajusta los rangos (las formulas usan filas 2 a 253 = 252 dias habiles ~ 1 ano).</t>
  </si>
  <si>
    <t>ADVERTENCIA: los datos de ejemplo son simulados con un modelo de mercado. No representan precios reales de ninguna empresa.</t>
  </si>
  <si>
    <t>Fecha</t>
  </si>
  <si>
    <t>BANCO</t>
  </si>
  <si>
    <t>RETAIL</t>
  </si>
  <si>
    <t>MINERA</t>
  </si>
  <si>
    <t>ENERGIA</t>
  </si>
  <si>
    <t>CONSUMO</t>
  </si>
  <si>
    <t>IPSA</t>
  </si>
  <si>
    <t>DATOS FICTICIOS (simulados). Reemplazar por precios reales de cierre.</t>
  </si>
  <si>
    <t>PARAMETROS</t>
  </si>
  <si>
    <t>Tasa libre de riesgo anual (rf)</t>
  </si>
  <si>
    <t>Ej.: TPM o BCP/BTP en pesos. Editable.</t>
  </si>
  <si>
    <t>Dias habiles por ano</t>
  </si>
  <si>
    <t>ESTADISTICO</t>
  </si>
  <si>
    <t>Retorno medio diario</t>
  </si>
  <si>
    <t>Retorno anualizado (compuesto)</t>
  </si>
  <si>
    <t>Volatilidad diaria</t>
  </si>
  <si>
    <t>Volatilidad anualizada</t>
  </si>
  <si>
    <t>Ratio de Sharpe anual</t>
  </si>
  <si>
    <t>Retorno acumulado periodo</t>
  </si>
  <si>
    <t>Mejor dia</t>
  </si>
  <si>
    <t>Peor dia</t>
  </si>
  <si>
    <t>% dias positivos</t>
  </si>
  <si>
    <t>Asimetria (skew)</t>
  </si>
  <si>
    <t>Curtosis (exceso)</t>
  </si>
  <si>
    <t>Como leer:</t>
  </si>
  <si>
    <t>Volatilidad anual = vol diaria x RAIZ(252). Sharpe = (retorno anual - rf) / volatilidad anual: retorno por unidad de riesgo total. Curtosis &gt; 0 = colas gordas (mas dias extremos que una normal).</t>
  </si>
  <si>
    <t>Matriz de COVARIANZAS anualizadas (x252)</t>
  </si>
  <si>
    <t>Matriz de CORRELACIONES</t>
  </si>
  <si>
    <t>Interpretacion</t>
  </si>
  <si>
    <t>Correlacion +1: se mueven igual (no diversifica). 0: independientes. -1: cobertura perfecta.</t>
  </si>
  <si>
    <t>En Chile las acciones suelen tener correlaciones positivas entre si (todas dependen del ciclo local, el cobre y el dolar).</t>
  </si>
  <si>
    <t>Combinar sectores con correlacion baja (ej. utilities vs mineria) reduce el riesgo de la cartera sin sacrificar retorno esperado.</t>
  </si>
  <si>
    <t>Diagonal de la covarianza = varianza de cada activo (volatilidad^2).</t>
  </si>
  <si>
    <t>Ojo: las correlaciones cambian en crisis (tienden a subir hacia 1 justo cuando mas necesitas diversificar).</t>
  </si>
  <si>
    <t>Frontera eficiente con 2 activos</t>
  </si>
  <si>
    <t>Cambia las celdas amarillas (sobre todo la correlacion) y observa el grafico.</t>
  </si>
  <si>
    <t>Retorno esperado activo 1 (E1)</t>
  </si>
  <si>
    <t>Retorno esperado activo 2 (E2)</t>
  </si>
  <si>
    <t>Volatilidad activo 1 (s1)</t>
  </si>
  <si>
    <t>Volatilidad activo 2 (s2)</t>
  </si>
  <si>
    <t>Correlacion (rho)</t>
  </si>
  <si>
    <t>Prueba con -1, 0, 0,5 y 1</t>
  </si>
  <si>
    <t>Peso optimo minima varianza en activo 1 (w1*)</t>
  </si>
  <si>
    <t>Retorno de la cartera de minima varianza</t>
  </si>
  <si>
    <t>Volatilidad de la cartera de minima varianza</t>
  </si>
  <si>
    <t>w1* = (s2^2 - rho*s1*s2) / (s1^2 + s2^2 - 2*rho*s1*s2)</t>
  </si>
  <si>
    <t>w1 (activo 1)</t>
  </si>
  <si>
    <t>w2 (activo 2)</t>
  </si>
  <si>
    <t>Retorno E(Rp)</t>
  </si>
  <si>
    <t>Volatilidad sp</t>
  </si>
  <si>
    <t>Sharpe</t>
  </si>
  <si>
    <t>La parte de la curva SOBRE el punto rojo es la frontera eficiente: mas retorno para cada nivel de riesgo.</t>
  </si>
  <si>
    <t>Mi cartera de N acciones</t>
  </si>
  <si>
    <t>Ingresa los pesos (deben sumar 100%). Luego usa Solver para maximizar el Sharpe (ver instrucciones abajo).</t>
  </si>
  <si>
    <t>SUMA</t>
  </si>
  <si>
    <t>Peso (w)</t>
  </si>
  <si>
    <t>Retorno anual del activo</t>
  </si>
  <si>
    <t>Volatilidad anual del activo</t>
  </si>
  <si>
    <t>Retorno anual de la cartera</t>
  </si>
  <si>
    <t>Volatilidad anual de la cartera</t>
  </si>
  <si>
    <t>Ratio de Sharpe</t>
  </si>
  <si>
    <t>Beta de la cartera vs IPSA</t>
  </si>
  <si>
    <t>Ratio de Treynor</t>
  </si>
  <si>
    <t>Retorno anual IPSA</t>
  </si>
  <si>
    <t>Alfa de Jensen (anual)</t>
  </si>
  <si>
    <t>Tracking error vs IPSA</t>
  </si>
  <si>
    <t>Information ratio</t>
  </si>
  <si>
    <t>Volatilidad promedio ponderada (sin diversificar)</t>
  </si>
  <si>
    <t>Reduccion de riesgo por diversificacion</t>
  </si>
  <si>
    <t>Max. drawdown de la cartera</t>
  </si>
  <si>
    <t>Retorno extra por unidad de riesgo total</t>
  </si>
  <si>
    <t>&gt;1 mas agresiva que el mercado; &lt;1 mas defensiva</t>
  </si>
  <si>
    <t>Retorno sobre lo que exige el CAPM dado su beta</t>
  </si>
  <si>
    <t>Cuanto riesgo "gratis" eliminaste combinando acciones</t>
  </si>
  <si>
    <t>SOLVER (Datos &gt; Solver; si no aparece: Archivo &gt; Opciones &gt; Complementos &gt; Solver):</t>
  </si>
  <si>
    <t>Establecer objetivo: $B$11 (Sharpe)  -&gt;  Max</t>
  </si>
  <si>
    <t>Cambiando las celdas: $B$5:$F$5</t>
  </si>
  <si>
    <t>Restricciones: $G$5 = 1   y   $B$5:$F$5 &gt;= 0  (sin ventas cortas). Opcional: $B$5:$F$5 &lt;= 0,35 (limite por accion)</t>
  </si>
  <si>
    <t>Metodo: GRG Nonlinear. Repite con objetivo $B$10 -&gt; Min para la cartera de minima varianza.</t>
  </si>
  <si>
    <t>Ret. cartera</t>
  </si>
  <si>
    <t>Ret. IPSA</t>
  </si>
  <si>
    <t>Diferencia</t>
  </si>
  <si>
    <t>Indice cartera</t>
  </si>
  <si>
    <t>Drawdown</t>
  </si>
  <si>
    <t>Indice IPSA</t>
  </si>
  <si>
    <t>Beta y CAPM</t>
  </si>
  <si>
    <t>Prima por riesgo de mercado (ERP)</t>
  </si>
  <si>
    <t>Ej.: prima total Chile Damodaran ene-2026 (verificar). Editable.</t>
  </si>
  <si>
    <t>Metrica</t>
  </si>
  <si>
    <t>Beta (pendiente vs IPSA)</t>
  </si>
  <si>
    <t>R2 (riesgo explicado por el mercado)</t>
  </si>
  <si>
    <t>Riesgo idiosincratico (1 - R2)</t>
  </si>
  <si>
    <t>Alfa diario (intercepto)</t>
  </si>
  <si>
    <t>Retorno exigido CAPM: rf + beta x ERP</t>
  </si>
  <si>
    <t>Retorno observado anual</t>
  </si>
  <si>
    <t>Diferencia (observado - CAPM)</t>
  </si>
  <si>
    <t>Lectura: beta 1,4 =&gt; si el IPSA sube 1%, la accion tiende a subir 1,4%. En un torneo, las betas altas amplifican el resultado (para bien y para mal).</t>
  </si>
  <si>
    <t>Accion:</t>
  </si>
  <si>
    <t>&lt;- elige la accion (lista desplegable)</t>
  </si>
  <si>
    <t>Ultima senal:</t>
  </si>
  <si>
    <t>Precio</t>
  </si>
  <si>
    <t>SMA 20</t>
  </si>
  <si>
    <t>SMA 50</t>
  </si>
  <si>
    <t>Senal cruce</t>
  </si>
  <si>
    <t>Ganancia</t>
  </si>
  <si>
    <t>Perdida</t>
  </si>
  <si>
    <t>RSI 14</t>
  </si>
  <si>
    <t>Bollinger sup</t>
  </si>
  <si>
    <t>Bollinger inf</t>
  </si>
  <si>
    <t>DD BANCO</t>
  </si>
  <si>
    <t>DD RETAIL</t>
  </si>
  <si>
    <t>DD MINERA</t>
  </si>
  <si>
    <t>DD ENERGIA</t>
  </si>
  <si>
    <t>DD CONSUMO</t>
  </si>
  <si>
    <t>DD IPSA</t>
  </si>
  <si>
    <t>MAXIMO DRAWDOWN</t>
  </si>
  <si>
    <t>Drawdown = caida desde el maximo previo. Una caida de -50% exige +100% para recuperarse.</t>
  </si>
  <si>
    <t>CUADERNO DE OPERACIONES - CCI</t>
  </si>
  <si>
    <t>Registra cada operacion tal como la hiciste en el simulador. Las filas de ejemplo son ficticias: borralas antes de empezar.</t>
  </si>
  <si>
    <t>Capital inicial</t>
  </si>
  <si>
    <t>Comision por operacion</t>
  </si>
  <si>
    <t>Confirmar en bases vigentes</t>
  </si>
  <si>
    <t>Limite de peso por accion</t>
  </si>
  <si>
    <t>Tu regla de riesgo</t>
  </si>
  <si>
    <t>IPSA al inicio</t>
  </si>
  <si>
    <t>IPSA hoy</t>
  </si>
  <si>
    <t>Ticker</t>
  </si>
  <si>
    <t>Tipo</t>
  </si>
  <si>
    <t>Cantidad</t>
  </si>
  <si>
    <t>Monto bruto</t>
  </si>
  <si>
    <t>Comision</t>
  </si>
  <si>
    <t>Flujo de caja</t>
  </si>
  <si>
    <t>Cant. +/-</t>
  </si>
  <si>
    <t>Tesis / motivo</t>
  </si>
  <si>
    <t>Stop</t>
  </si>
  <si>
    <t>Objetivo</t>
  </si>
  <si>
    <t>Compra</t>
  </si>
  <si>
    <t>Ciclo de tasas: TPM a la baja mejora credito</t>
  </si>
  <si>
    <t>Cobre al alza + resultados 3T esperados fuertes</t>
  </si>
  <si>
    <t>Defensiva, baja correlacion con mineria</t>
  </si>
  <si>
    <t>Venta</t>
  </si>
  <si>
    <t>Toma de ganancia parcial tras resultados</t>
  </si>
  <si>
    <t>RESUMEN DE LA CARTERA</t>
  </si>
  <si>
    <t>Caja disponible</t>
  </si>
  <si>
    <t>Valor de mercado acciones</t>
  </si>
  <si>
    <t>VALOR TOTAL CARTERA</t>
  </si>
  <si>
    <t>Rentabilidad acumulada</t>
  </si>
  <si>
    <t>Rentabilidad IPSA mismo periodo</t>
  </si>
  <si>
    <t>Exceso sobre IPSA</t>
  </si>
  <si>
    <t>Comisiones pagadas (total)</t>
  </si>
  <si>
    <t>Comisiones como % del capital</t>
  </si>
  <si>
    <t>Alerta</t>
  </si>
  <si>
    <t>Precio medio compra</t>
  </si>
  <si>
    <t>Precio actual</t>
  </si>
  <si>
    <t>Valor mercado</t>
  </si>
  <si>
    <t>P&amp;L no realizado</t>
  </si>
  <si>
    <t>Peso</t>
  </si>
  <si>
    <t>Precio actual: copialo del simulador cada dia. El P&amp;L no realizado usa el precio medio de compra.</t>
  </si>
  <si>
    <t>Economia del torneo: costos y probabilidades</t>
  </si>
  <si>
    <t>A) COSTO DE ROTAR LA CARTERA</t>
  </si>
  <si>
    <t>Alza minima para empatar una compra+venta</t>
  </si>
  <si>
    <t>Con 0,5% por lado necesitas ~1,005% de alza solo para no perder.</t>
  </si>
  <si>
    <t>N de rotaciones completas de TODA la cartera</t>
  </si>
  <si>
    <t>Costo acumulado</t>
  </si>
  <si>
    <t>Comentario</t>
  </si>
  <si>
    <t>Un "day trader" que rota todo 20 veces pierde ~18% solo en comisiones.</t>
  </si>
  <si>
    <t>B) PROBABILIDAD DE SUPERAR UNA META (modelo lognormal)</t>
  </si>
  <si>
    <t>Duracion del concurso (semanas)</t>
  </si>
  <si>
    <t>Retorno esperado anual de la cartera (mu)</t>
  </si>
  <si>
    <t>Supuesto clave</t>
  </si>
  <si>
    <t>Sin habilidad especial: el retorno es aleatorio alrededor de mu</t>
  </si>
  <si>
    <t>P(R &gt; 5%)</t>
  </si>
  <si>
    <t>P(R &gt; 10%)</t>
  </si>
  <si>
    <t>P(R &gt; 20%)</t>
  </si>
  <si>
    <t>P(R &gt; 30%)</t>
  </si>
  <si>
    <t>P(R &gt; 50%)</t>
  </si>
  <si>
    <t>P(R &lt; -10%)</t>
  </si>
  <si>
    <t>LECCION: los ganadores historicos del CCI universitario rentaron 30%-65% en ~8 semanas. Con volatilidad del IPSA (~15-20%) la probabilidad de lograrlo es casi cero.</t>
  </si>
  <si>
    <t>Para aspirar al primer lugar entre miles hay que aceptar mas volatilidad (concentracion, betas altas). Pero la misma tabla muestra que sube la probabilidad de perder mucho.</t>
  </si>
  <si>
    <t>La habilidad (buen analisis) desplaza mu hacia arriba; la volatilidad abre el abanico. El objetivo es combinar ambas sin arriesgar la "ruina" temprana.</t>
  </si>
  <si>
    <t>Supuesto simplificado (retornos lognormales, sin saltos). Sirve para intuicion, no como prediccion.</t>
  </si>
  <si>
    <t>Screener fundamental (plantilla)</t>
  </si>
  <si>
    <t>Datos de ejemplo FICTICIOS. Llena con datos reales de los estados financieros (CMF) y precios del dia.</t>
  </si>
  <si>
    <t>Empresa</t>
  </si>
  <si>
    <t>Sector</t>
  </si>
  <si>
    <t>UPA (12m)</t>
  </si>
  <si>
    <t>VL por accion</t>
  </si>
  <si>
    <t>Dividendo por accion</t>
  </si>
  <si>
    <t>EBITDA (MM$)</t>
  </si>
  <si>
    <t>Deuda neta (MM$)</t>
  </si>
  <si>
    <t>N acciones (MM)</t>
  </si>
  <si>
    <t>Var. precio 3M</t>
  </si>
  <si>
    <t>P/U</t>
  </si>
  <si>
    <t>P/VL</t>
  </si>
  <si>
    <t>Div. yield</t>
  </si>
  <si>
    <t>Cap. bursatil (MM$)</t>
  </si>
  <si>
    <t>EV (MM$)</t>
  </si>
  <si>
    <t>EV/EBITDA</t>
  </si>
  <si>
    <t>ROE</t>
  </si>
  <si>
    <t>Rank P/U</t>
  </si>
  <si>
    <t>Rank DivY</t>
  </si>
  <si>
    <t>Rank Momentum</t>
  </si>
  <si>
    <t>Rank ROE</t>
  </si>
  <si>
    <t>PUNTAJE</t>
  </si>
  <si>
    <t>POSICION</t>
  </si>
  <si>
    <t>Financiero</t>
  </si>
  <si>
    <t>Consumo</t>
  </si>
  <si>
    <t>Materiales</t>
  </si>
  <si>
    <t>Utilities</t>
  </si>
  <si>
    <t>Consumo basico</t>
  </si>
  <si>
    <t>FORESTAL</t>
  </si>
  <si>
    <t>AEROLINEA</t>
  </si>
  <si>
    <t>Transporte</t>
  </si>
  <si>
    <t>TELECOM</t>
  </si>
  <si>
    <t>Comunicaciones</t>
  </si>
  <si>
    <t>Notas:</t>
  </si>
  <si>
    <t>P/U bajo y P/VL bajo = "barata" (value). P/VL = 1/BME de tu tesina: el BME alto se asocia a menos opciones de crecimiento.</t>
  </si>
  <si>
    <t>EV/EBITDA no aplica a bancos (su deuda es materia prima). Para bancos usa P/U, P/VL y ROE.</t>
  </si>
  <si>
    <t>El puntaje promedia rankings (1 = mejor). Cambia los criterios segun tu estrategia (value, dividendos, momentum, calidad).</t>
  </si>
  <si>
    <t>En 8 semanas pesan mas los CATALIZADORES (resultados, dividendos, noticias) y el momentum que el valor de largo plazo.</t>
  </si>
  <si>
    <t>Planificador semanal del concurso</t>
  </si>
  <si>
    <t>Inicio oficial:</t>
  </si>
  <si>
    <t>Cambia por la fecha real de las bases</t>
  </si>
  <si>
    <t>Semana</t>
  </si>
  <si>
    <t>Desde</t>
  </si>
  <si>
    <t>Hasta</t>
  </si>
  <si>
    <t>Eventos macro (BCCh, IPC, Fed, cobre)</t>
  </si>
  <si>
    <t>Resultados / dividendos de empresas</t>
  </si>
  <si>
    <t>Plan de la semana</t>
  </si>
  <si>
    <t>Revision (que funciono / que no)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</si>
  <si>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</si>
  <si>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</si>
  <si>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</si>
  <si>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</si>
  <si>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</si>
  <si>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</si>
  <si>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</si>
  <si>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</si>
  <si>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</si>
  <si>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Final</t>
  </si>
  <si>
    <t>Ej.: Reunion de Politica Monetaria; IPC (INE, ~dia 8)</t>
  </si>
  <si>
    <t>Ej.: temporada de resultados 3T (fines oct - nov)</t>
  </si>
  <si>
    <t>CHECKLIST ANTES DE CADA OPERACION</t>
  </si>
  <si>
    <t>Si / No</t>
  </si>
  <si>
    <t>Tengo una tesis escrita en 1-2 frases (por que subira o bajara)</t>
  </si>
  <si>
    <t>Se cual es el catalizador y cuando ocurre</t>
  </si>
  <si>
    <t>Revise noticias y hechos esenciales (CMF) de hoy</t>
  </si>
  <si>
    <t>El tamano de la posicion respeta mi limite por accion</t>
  </si>
  <si>
    <t>Calcule cuanto debe moverse para cubrir la comision (~1%)</t>
  </si>
  <si>
    <t>Defini precio de salida si me equivoco (stop)</t>
  </si>
  <si>
    <t>Defini precio objetivo / condicion de toma de ganancia</t>
  </si>
  <si>
    <t>No estoy operando por impulso (FOMO o recuperar perdidas)</t>
  </si>
  <si>
    <t>Revise la correlacion con lo que ya tengo</t>
  </si>
  <si>
    <t>Registre la operacion en 9_Simulador_CCI</t>
  </si>
  <si>
    <t>Plan de estudio: 21 dias para dominar el CCI</t>
  </si>
  <si>
    <t>Dia</t>
  </si>
  <si>
    <t>Tema</t>
  </si>
  <si>
    <t>Material</t>
  </si>
  <si>
    <t>Hecho</t>
  </si>
  <si>
    <t>Que es el CCI, reglas y logica de torneo</t>
  </si>
  <si>
    <t>Guia cap. 1-2 + Resumen Express</t>
  </si>
  <si>
    <t>Bolsa de Santiago, nuam, IPSA, ordenes y costos</t>
  </si>
  <si>
    <t>Guia cap. 3</t>
  </si>
  <si>
    <t>Sectores del IPSA y empresas clave</t>
  </si>
  <si>
    <t>Guia cap. 3 + Screener</t>
  </si>
  <si>
    <t>Macro Chile: cobre, dolar, TPM, inflacion</t>
  </si>
  <si>
    <t>Guia cap. 4 + Mapas (cadena macro)</t>
  </si>
  <si>
    <t>Retorno, riesgo, anualizacion, drawdown</t>
  </si>
  <si>
    <t>Guia cap. 5 + hojas 2 y 8</t>
  </si>
  <si>
    <t>Covarianza, correlacion y diversificacion</t>
  </si>
  <si>
    <t>Guia cap. 6 + hoja 3</t>
  </si>
  <si>
    <t>Markowitz y frontera eficiente</t>
  </si>
  <si>
    <t>Guia cap. 6 + hoja 4 + Ejercicios 4-6</t>
  </si>
  <si>
    <t>CAPM, beta, SML; repaso tesina</t>
  </si>
  <si>
    <t>Guia cap. 7 + hoja 6</t>
  </si>
  <si>
    <t>Sharpe, Treynor, Jensen, info ratio</t>
  </si>
  <si>
    <t>Guia cap. 7 + hoja 5 + Ejercicios 7-9</t>
  </si>
  <si>
    <t>Repaso + Quiz (bloque teoria)</t>
  </si>
  <si>
    <t>Quiz interactivo + Flashcards</t>
  </si>
  <si>
    <t>Analisis fundamental: multiplos</t>
  </si>
  <si>
    <t>Guia cap. 8 + hoja 11</t>
  </si>
  <si>
    <t>Estados financieros rapidos y resultados trimestrales</t>
  </si>
  <si>
    <t>Guia cap. 8</t>
  </si>
  <si>
    <t>Analisis tecnico: tendencia, medias, RSI, Bollinger</t>
  </si>
  <si>
    <t>Guia cap. 9 + hoja 7</t>
  </si>
  <si>
    <t>Momentum, reversion y eventos</t>
  </si>
  <si>
    <t>Guia cap. 9</t>
  </si>
  <si>
    <t>Finanzas conductuales</t>
  </si>
  <si>
    <t>Guia cap. 10</t>
  </si>
  <si>
    <t>Estrategia de torneo y tamano de posiciones</t>
  </si>
  <si>
    <t>Guia cap. 11 + hoja 10</t>
  </si>
  <si>
    <t>Disenar TU estrategia (documento de 1 pagina)</t>
  </si>
  <si>
    <t>Guia cap. 11 (plantilla)</t>
  </si>
  <si>
    <t>Marcha blanca: probar la plataforma</t>
  </si>
  <si>
    <t>Simulador del concurso + hoja 9</t>
  </si>
  <si>
    <t>Backtest simple de tu estrategia con datos reales</t>
  </si>
  <si>
    <t>Hojas 1-5 con datos reales</t>
  </si>
  <si>
    <t>Simulacro completo de 1 semana</t>
  </si>
  <si>
    <t>Hojas 9 y 12</t>
  </si>
  <si>
    <t>Repaso final + Quiz completo + ajustes</t>
  </si>
  <si>
    <t>Quiz + Resumen Express</t>
  </si>
  <si>
    <t>AVANCE</t>
  </si>
</sst>
</file>

<file path=xl/styles.xml><?xml version="1.0" encoding="utf-8"?>
<styleSheet xmlns="http://schemas.openxmlformats.org/spreadsheetml/2006/main">
  <numFmts count="9">
    <numFmt numFmtId="164" formatCode="dd-mm-yyyy"/>
    <numFmt numFmtId="165" formatCode="#,##0.00"/>
    <numFmt numFmtId="166" formatCode="0.00%"/>
    <numFmt numFmtId="167" formatCode="#,##0"/>
    <numFmt numFmtId="168" formatCode="0.000"/>
    <numFmt numFmtId="169" formatCode="0.0000"/>
    <numFmt numFmtId="170" formatCode="0.00"/>
    <numFmt numFmtId="171" formatCode="0.000%"/>
    <numFmt numFmtId="172" formatCode="0.0"/>
  </numFmts>
  <fonts count="9">
    <font>
      <sz val="11"/>
      <color theme="1"/>
      <name val="Calibri"/>
      <family val="2"/>
      <scheme val="minor"/>
    </font>
    <font>
      <b/>
      <sz val="16"/>
      <color rgb="FF1F3864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0" fillId="2" borderId="1" xfId="0" applyFill="1" applyBorder="1"/>
    <xf numFmtId="0" fontId="0" fillId="3" borderId="1" xfId="0" applyFill="1" applyBorder="1" applyAlignment="1">
      <alignment vertical="top" wrapText="1"/>
    </xf>
    <xf numFmtId="0" fontId="4" fillId="0" borderId="0" xfId="0" applyFont="1"/>
    <xf numFmtId="0" fontId="5" fillId="4" borderId="1" xfId="0" applyFont="1" applyFill="1" applyBorder="1" applyAlignment="1">
      <alignment horizontal="center" vertical="center" wrapText="1"/>
    </xf>
    <xf numFmtId="0" fontId="6" fillId="0" borderId="0" xfId="1" applyAlignment="1" applyProtection="1"/>
    <xf numFmtId="0" fontId="0" fillId="0" borderId="1" xfId="0" applyBorder="1" applyAlignment="1">
      <alignment vertical="top" wrapText="1"/>
    </xf>
    <xf numFmtId="164" fontId="0" fillId="2" borderId="1" xfId="0" applyNumberFormat="1" applyFill="1" applyBorder="1"/>
    <xf numFmtId="165" fontId="0" fillId="2" borderId="1" xfId="0" applyNumberFormat="1" applyFill="1" applyBorder="1"/>
    <xf numFmtId="164" fontId="0" fillId="0" borderId="1" xfId="0" applyNumberFormat="1" applyBorder="1"/>
    <xf numFmtId="166" fontId="0" fillId="0" borderId="1" xfId="0" applyNumberFormat="1" applyBorder="1"/>
    <xf numFmtId="0" fontId="3" fillId="5" borderId="1" xfId="0" applyFont="1" applyFill="1" applyBorder="1" applyAlignment="1">
      <alignment wrapText="1"/>
    </xf>
    <xf numFmtId="166" fontId="0" fillId="2" borderId="1" xfId="0" applyNumberFormat="1" applyFill="1" applyBorder="1"/>
    <xf numFmtId="0" fontId="7" fillId="0" borderId="0" xfId="0" applyFont="1" applyAlignment="1">
      <alignment vertical="top" wrapText="1"/>
    </xf>
    <xf numFmtId="167" fontId="0" fillId="2" borderId="1" xfId="0" applyNumberFormat="1" applyFill="1" applyBorder="1"/>
    <xf numFmtId="166" fontId="3" fillId="3" borderId="1" xfId="0" applyNumberFormat="1" applyFont="1" applyFill="1" applyBorder="1"/>
    <xf numFmtId="168" fontId="3" fillId="3" borderId="1" xfId="0" applyNumberFormat="1" applyFont="1" applyFill="1" applyBorder="1"/>
    <xf numFmtId="168" fontId="0" fillId="0" borderId="1" xfId="0" applyNumberFormat="1" applyBorder="1"/>
    <xf numFmtId="169" fontId="0" fillId="0" borderId="1" xfId="0" applyNumberFormat="1" applyBorder="1"/>
    <xf numFmtId="170" fontId="0" fillId="0" borderId="1" xfId="0" applyNumberFormat="1" applyBorder="1"/>
    <xf numFmtId="170" fontId="0" fillId="2" borderId="1" xfId="0" applyNumberFormat="1" applyFill="1" applyBorder="1"/>
    <xf numFmtId="165" fontId="0" fillId="0" borderId="1" xfId="0" applyNumberFormat="1" applyBorder="1"/>
    <xf numFmtId="171" fontId="0" fillId="0" borderId="1" xfId="0" applyNumberFormat="1" applyBorder="1"/>
    <xf numFmtId="172" fontId="0" fillId="0" borderId="1" xfId="0" applyNumberFormat="1" applyBorder="1"/>
    <xf numFmtId="167" fontId="3" fillId="3" borderId="1" xfId="0" applyNumberFormat="1" applyFont="1" applyFill="1" applyBorder="1"/>
    <xf numFmtId="167" fontId="0" fillId="0" borderId="1" xfId="0" applyNumberFormat="1" applyBorder="1"/>
    <xf numFmtId="0" fontId="0" fillId="2" borderId="1" xfId="0" applyFill="1" applyBorder="1" applyAlignment="1">
      <alignment wrapText="1"/>
    </xf>
    <xf numFmtId="170" fontId="3" fillId="3" borderId="1" xfId="0" applyNumberFormat="1" applyFont="1" applyFill="1" applyBorder="1"/>
    <xf numFmtId="0" fontId="8" fillId="2" borderId="1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3"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63BE7B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IPSA (ficticio)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'1_Precios'!$G$1</c:f>
              <c:strCache>
                <c:ptCount val="1"/>
                <c:pt idx="0">
                  <c:v>IPSA</c:v>
                </c:pt>
              </c:strCache>
            </c:strRef>
          </c:tx>
          <c:spPr>
            <a:ln w="19050">
              <a:solidFill>
                <a:srgbClr val="1F3864"/>
              </a:solidFill>
            </a:ln>
          </c:spPr>
          <c:marker>
            <c:symbol val="none"/>
          </c:marker>
          <c:cat>
            <c:numRef>
              <c:f>'1_Precios'!$A$2:$A$253</c:f>
              <c:numCache>
                <c:formatCode>General</c:formatCode>
                <c:ptCount val="252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45666</c:v>
                </c:pt>
                <c:pt idx="6">
                  <c:v>45667</c:v>
                </c:pt>
                <c:pt idx="7">
                  <c:v>45670</c:v>
                </c:pt>
                <c:pt idx="8">
                  <c:v>45671</c:v>
                </c:pt>
                <c:pt idx="9">
                  <c:v>45672</c:v>
                </c:pt>
                <c:pt idx="10">
                  <c:v>45673</c:v>
                </c:pt>
                <c:pt idx="11">
                  <c:v>45674</c:v>
                </c:pt>
                <c:pt idx="12">
                  <c:v>45677</c:v>
                </c:pt>
                <c:pt idx="13">
                  <c:v>45678</c:v>
                </c:pt>
                <c:pt idx="14">
                  <c:v>45679</c:v>
                </c:pt>
                <c:pt idx="15">
                  <c:v>45680</c:v>
                </c:pt>
                <c:pt idx="16">
                  <c:v>45681</c:v>
                </c:pt>
                <c:pt idx="17">
                  <c:v>45684</c:v>
                </c:pt>
                <c:pt idx="18">
                  <c:v>45685</c:v>
                </c:pt>
                <c:pt idx="19">
                  <c:v>45686</c:v>
                </c:pt>
                <c:pt idx="20">
                  <c:v>45687</c:v>
                </c:pt>
                <c:pt idx="21">
                  <c:v>45688</c:v>
                </c:pt>
                <c:pt idx="22">
                  <c:v>45691</c:v>
                </c:pt>
                <c:pt idx="23">
                  <c:v>45692</c:v>
                </c:pt>
                <c:pt idx="24">
                  <c:v>45693</c:v>
                </c:pt>
                <c:pt idx="25">
                  <c:v>45694</c:v>
                </c:pt>
                <c:pt idx="26">
                  <c:v>45695</c:v>
                </c:pt>
                <c:pt idx="27">
                  <c:v>45698</c:v>
                </c:pt>
                <c:pt idx="28">
                  <c:v>45699</c:v>
                </c:pt>
                <c:pt idx="29">
                  <c:v>45700</c:v>
                </c:pt>
                <c:pt idx="30">
                  <c:v>45701</c:v>
                </c:pt>
                <c:pt idx="31">
                  <c:v>45702</c:v>
                </c:pt>
                <c:pt idx="32">
                  <c:v>45705</c:v>
                </c:pt>
                <c:pt idx="33">
                  <c:v>45706</c:v>
                </c:pt>
                <c:pt idx="34">
                  <c:v>45707</c:v>
                </c:pt>
                <c:pt idx="35">
                  <c:v>45708</c:v>
                </c:pt>
                <c:pt idx="36">
                  <c:v>45709</c:v>
                </c:pt>
                <c:pt idx="37">
                  <c:v>45712</c:v>
                </c:pt>
                <c:pt idx="38">
                  <c:v>45713</c:v>
                </c:pt>
                <c:pt idx="39">
                  <c:v>45714</c:v>
                </c:pt>
                <c:pt idx="40">
                  <c:v>45715</c:v>
                </c:pt>
                <c:pt idx="41">
                  <c:v>45716</c:v>
                </c:pt>
                <c:pt idx="42">
                  <c:v>45719</c:v>
                </c:pt>
                <c:pt idx="43">
                  <c:v>45720</c:v>
                </c:pt>
                <c:pt idx="44">
                  <c:v>45721</c:v>
                </c:pt>
                <c:pt idx="45">
                  <c:v>45722</c:v>
                </c:pt>
                <c:pt idx="46">
                  <c:v>45723</c:v>
                </c:pt>
                <c:pt idx="47">
                  <c:v>45726</c:v>
                </c:pt>
                <c:pt idx="48">
                  <c:v>45727</c:v>
                </c:pt>
                <c:pt idx="49">
                  <c:v>45728</c:v>
                </c:pt>
                <c:pt idx="50">
                  <c:v>45729</c:v>
                </c:pt>
                <c:pt idx="51">
                  <c:v>45730</c:v>
                </c:pt>
                <c:pt idx="52">
                  <c:v>45733</c:v>
                </c:pt>
                <c:pt idx="53">
                  <c:v>45734</c:v>
                </c:pt>
                <c:pt idx="54">
                  <c:v>45735</c:v>
                </c:pt>
                <c:pt idx="55">
                  <c:v>45736</c:v>
                </c:pt>
                <c:pt idx="56">
                  <c:v>45737</c:v>
                </c:pt>
                <c:pt idx="57">
                  <c:v>45740</c:v>
                </c:pt>
                <c:pt idx="58">
                  <c:v>45741</c:v>
                </c:pt>
                <c:pt idx="59">
                  <c:v>45742</c:v>
                </c:pt>
                <c:pt idx="60">
                  <c:v>45743</c:v>
                </c:pt>
                <c:pt idx="61">
                  <c:v>45744</c:v>
                </c:pt>
                <c:pt idx="62">
                  <c:v>45747</c:v>
                </c:pt>
                <c:pt idx="63">
                  <c:v>45748</c:v>
                </c:pt>
                <c:pt idx="64">
                  <c:v>45749</c:v>
                </c:pt>
                <c:pt idx="65">
                  <c:v>45750</c:v>
                </c:pt>
                <c:pt idx="66">
                  <c:v>45751</c:v>
                </c:pt>
                <c:pt idx="67">
                  <c:v>45754</c:v>
                </c:pt>
                <c:pt idx="68">
                  <c:v>45755</c:v>
                </c:pt>
                <c:pt idx="69">
                  <c:v>45756</c:v>
                </c:pt>
                <c:pt idx="70">
                  <c:v>45757</c:v>
                </c:pt>
                <c:pt idx="71">
                  <c:v>45758</c:v>
                </c:pt>
                <c:pt idx="72">
                  <c:v>45761</c:v>
                </c:pt>
                <c:pt idx="73">
                  <c:v>45762</c:v>
                </c:pt>
                <c:pt idx="74">
                  <c:v>45763</c:v>
                </c:pt>
                <c:pt idx="75">
                  <c:v>45764</c:v>
                </c:pt>
                <c:pt idx="76">
                  <c:v>45765</c:v>
                </c:pt>
                <c:pt idx="77">
                  <c:v>45768</c:v>
                </c:pt>
                <c:pt idx="78">
                  <c:v>45769</c:v>
                </c:pt>
                <c:pt idx="79">
                  <c:v>45770</c:v>
                </c:pt>
                <c:pt idx="80">
                  <c:v>45771</c:v>
                </c:pt>
                <c:pt idx="81">
                  <c:v>45772</c:v>
                </c:pt>
                <c:pt idx="82">
                  <c:v>45775</c:v>
                </c:pt>
                <c:pt idx="83">
                  <c:v>45776</c:v>
                </c:pt>
                <c:pt idx="84">
                  <c:v>45777</c:v>
                </c:pt>
                <c:pt idx="85">
                  <c:v>45778</c:v>
                </c:pt>
                <c:pt idx="86">
                  <c:v>45779</c:v>
                </c:pt>
                <c:pt idx="87">
                  <c:v>45782</c:v>
                </c:pt>
                <c:pt idx="88">
                  <c:v>45783</c:v>
                </c:pt>
                <c:pt idx="89">
                  <c:v>45784</c:v>
                </c:pt>
                <c:pt idx="90">
                  <c:v>45785</c:v>
                </c:pt>
                <c:pt idx="91">
                  <c:v>45786</c:v>
                </c:pt>
                <c:pt idx="92">
                  <c:v>45789</c:v>
                </c:pt>
                <c:pt idx="93">
                  <c:v>45790</c:v>
                </c:pt>
                <c:pt idx="94">
                  <c:v>45791</c:v>
                </c:pt>
                <c:pt idx="95">
                  <c:v>45792</c:v>
                </c:pt>
                <c:pt idx="96">
                  <c:v>45793</c:v>
                </c:pt>
                <c:pt idx="97">
                  <c:v>45796</c:v>
                </c:pt>
                <c:pt idx="98">
                  <c:v>45797</c:v>
                </c:pt>
                <c:pt idx="99">
                  <c:v>45798</c:v>
                </c:pt>
                <c:pt idx="100">
                  <c:v>45799</c:v>
                </c:pt>
                <c:pt idx="101">
                  <c:v>45800</c:v>
                </c:pt>
                <c:pt idx="102">
                  <c:v>45803</c:v>
                </c:pt>
                <c:pt idx="103">
                  <c:v>45804</c:v>
                </c:pt>
                <c:pt idx="104">
                  <c:v>45805</c:v>
                </c:pt>
                <c:pt idx="105">
                  <c:v>45806</c:v>
                </c:pt>
                <c:pt idx="106">
                  <c:v>45807</c:v>
                </c:pt>
                <c:pt idx="107">
                  <c:v>45810</c:v>
                </c:pt>
                <c:pt idx="108">
                  <c:v>45811</c:v>
                </c:pt>
                <c:pt idx="109">
                  <c:v>45812</c:v>
                </c:pt>
                <c:pt idx="110">
                  <c:v>45813</c:v>
                </c:pt>
                <c:pt idx="111">
                  <c:v>45814</c:v>
                </c:pt>
                <c:pt idx="112">
                  <c:v>45817</c:v>
                </c:pt>
                <c:pt idx="113">
                  <c:v>45818</c:v>
                </c:pt>
                <c:pt idx="114">
                  <c:v>45819</c:v>
                </c:pt>
                <c:pt idx="115">
                  <c:v>45820</c:v>
                </c:pt>
                <c:pt idx="116">
                  <c:v>45821</c:v>
                </c:pt>
                <c:pt idx="117">
                  <c:v>45824</c:v>
                </c:pt>
                <c:pt idx="118">
                  <c:v>45825</c:v>
                </c:pt>
                <c:pt idx="119">
                  <c:v>45826</c:v>
                </c:pt>
                <c:pt idx="120">
                  <c:v>45827</c:v>
                </c:pt>
                <c:pt idx="121">
                  <c:v>45828</c:v>
                </c:pt>
                <c:pt idx="122">
                  <c:v>45831</c:v>
                </c:pt>
                <c:pt idx="123">
                  <c:v>45832</c:v>
                </c:pt>
                <c:pt idx="124">
                  <c:v>45833</c:v>
                </c:pt>
                <c:pt idx="125">
                  <c:v>45834</c:v>
                </c:pt>
                <c:pt idx="126">
                  <c:v>45835</c:v>
                </c:pt>
                <c:pt idx="127">
                  <c:v>45838</c:v>
                </c:pt>
                <c:pt idx="128">
                  <c:v>45839</c:v>
                </c:pt>
                <c:pt idx="129">
                  <c:v>45840</c:v>
                </c:pt>
                <c:pt idx="130">
                  <c:v>45841</c:v>
                </c:pt>
                <c:pt idx="131">
                  <c:v>45842</c:v>
                </c:pt>
                <c:pt idx="132">
                  <c:v>45845</c:v>
                </c:pt>
                <c:pt idx="133">
                  <c:v>45846</c:v>
                </c:pt>
                <c:pt idx="134">
                  <c:v>45847</c:v>
                </c:pt>
                <c:pt idx="135">
                  <c:v>45848</c:v>
                </c:pt>
                <c:pt idx="136">
                  <c:v>45849</c:v>
                </c:pt>
                <c:pt idx="137">
                  <c:v>45852</c:v>
                </c:pt>
                <c:pt idx="138">
                  <c:v>45853</c:v>
                </c:pt>
                <c:pt idx="139">
                  <c:v>45854</c:v>
                </c:pt>
                <c:pt idx="140">
                  <c:v>45855</c:v>
                </c:pt>
                <c:pt idx="141">
                  <c:v>45856</c:v>
                </c:pt>
                <c:pt idx="142">
                  <c:v>45859</c:v>
                </c:pt>
                <c:pt idx="143">
                  <c:v>45860</c:v>
                </c:pt>
                <c:pt idx="144">
                  <c:v>45861</c:v>
                </c:pt>
                <c:pt idx="145">
                  <c:v>45862</c:v>
                </c:pt>
                <c:pt idx="146">
                  <c:v>45863</c:v>
                </c:pt>
                <c:pt idx="147">
                  <c:v>45866</c:v>
                </c:pt>
                <c:pt idx="148">
                  <c:v>45867</c:v>
                </c:pt>
                <c:pt idx="149">
                  <c:v>45868</c:v>
                </c:pt>
                <c:pt idx="150">
                  <c:v>45869</c:v>
                </c:pt>
                <c:pt idx="151">
                  <c:v>45870</c:v>
                </c:pt>
                <c:pt idx="152">
                  <c:v>45873</c:v>
                </c:pt>
                <c:pt idx="153">
                  <c:v>45874</c:v>
                </c:pt>
                <c:pt idx="154">
                  <c:v>45875</c:v>
                </c:pt>
                <c:pt idx="155">
                  <c:v>45876</c:v>
                </c:pt>
                <c:pt idx="156">
                  <c:v>45877</c:v>
                </c:pt>
                <c:pt idx="157">
                  <c:v>45880</c:v>
                </c:pt>
                <c:pt idx="158">
                  <c:v>45881</c:v>
                </c:pt>
                <c:pt idx="159">
                  <c:v>45882</c:v>
                </c:pt>
                <c:pt idx="160">
                  <c:v>45883</c:v>
                </c:pt>
                <c:pt idx="161">
                  <c:v>45884</c:v>
                </c:pt>
                <c:pt idx="162">
                  <c:v>45887</c:v>
                </c:pt>
                <c:pt idx="163">
                  <c:v>45888</c:v>
                </c:pt>
                <c:pt idx="164">
                  <c:v>45889</c:v>
                </c:pt>
                <c:pt idx="165">
                  <c:v>45890</c:v>
                </c:pt>
                <c:pt idx="166">
                  <c:v>45891</c:v>
                </c:pt>
                <c:pt idx="167">
                  <c:v>45894</c:v>
                </c:pt>
                <c:pt idx="168">
                  <c:v>45895</c:v>
                </c:pt>
                <c:pt idx="169">
                  <c:v>45896</c:v>
                </c:pt>
                <c:pt idx="170">
                  <c:v>45897</c:v>
                </c:pt>
                <c:pt idx="171">
                  <c:v>45898</c:v>
                </c:pt>
                <c:pt idx="172">
                  <c:v>45901</c:v>
                </c:pt>
                <c:pt idx="173">
                  <c:v>45902</c:v>
                </c:pt>
                <c:pt idx="174">
                  <c:v>45903</c:v>
                </c:pt>
                <c:pt idx="175">
                  <c:v>45904</c:v>
                </c:pt>
                <c:pt idx="176">
                  <c:v>45905</c:v>
                </c:pt>
                <c:pt idx="177">
                  <c:v>45908</c:v>
                </c:pt>
                <c:pt idx="178">
                  <c:v>45909</c:v>
                </c:pt>
                <c:pt idx="179">
                  <c:v>45910</c:v>
                </c:pt>
                <c:pt idx="180">
                  <c:v>45911</c:v>
                </c:pt>
                <c:pt idx="181">
                  <c:v>45912</c:v>
                </c:pt>
                <c:pt idx="182">
                  <c:v>45915</c:v>
                </c:pt>
                <c:pt idx="183">
                  <c:v>45916</c:v>
                </c:pt>
                <c:pt idx="184">
                  <c:v>45917</c:v>
                </c:pt>
                <c:pt idx="185">
                  <c:v>45918</c:v>
                </c:pt>
                <c:pt idx="186">
                  <c:v>45919</c:v>
                </c:pt>
                <c:pt idx="187">
                  <c:v>45922</c:v>
                </c:pt>
                <c:pt idx="188">
                  <c:v>45923</c:v>
                </c:pt>
                <c:pt idx="189">
                  <c:v>45924</c:v>
                </c:pt>
                <c:pt idx="190">
                  <c:v>45925</c:v>
                </c:pt>
                <c:pt idx="191">
                  <c:v>45926</c:v>
                </c:pt>
                <c:pt idx="192">
                  <c:v>45929</c:v>
                </c:pt>
                <c:pt idx="193">
                  <c:v>45930</c:v>
                </c:pt>
                <c:pt idx="194">
                  <c:v>45931</c:v>
                </c:pt>
                <c:pt idx="195">
                  <c:v>45932</c:v>
                </c:pt>
                <c:pt idx="196">
                  <c:v>45933</c:v>
                </c:pt>
                <c:pt idx="197">
                  <c:v>45936</c:v>
                </c:pt>
                <c:pt idx="198">
                  <c:v>45937</c:v>
                </c:pt>
                <c:pt idx="199">
                  <c:v>45938</c:v>
                </c:pt>
                <c:pt idx="200">
                  <c:v>45939</c:v>
                </c:pt>
                <c:pt idx="201">
                  <c:v>45940</c:v>
                </c:pt>
                <c:pt idx="202">
                  <c:v>45943</c:v>
                </c:pt>
                <c:pt idx="203">
                  <c:v>45944</c:v>
                </c:pt>
                <c:pt idx="204">
                  <c:v>45945</c:v>
                </c:pt>
                <c:pt idx="205">
                  <c:v>45946</c:v>
                </c:pt>
                <c:pt idx="206">
                  <c:v>45947</c:v>
                </c:pt>
                <c:pt idx="207">
                  <c:v>45950</c:v>
                </c:pt>
                <c:pt idx="208">
                  <c:v>45951</c:v>
                </c:pt>
                <c:pt idx="209">
                  <c:v>45952</c:v>
                </c:pt>
                <c:pt idx="210">
                  <c:v>45953</c:v>
                </c:pt>
                <c:pt idx="211">
                  <c:v>45954</c:v>
                </c:pt>
                <c:pt idx="212">
                  <c:v>45957</c:v>
                </c:pt>
                <c:pt idx="213">
                  <c:v>45958</c:v>
                </c:pt>
                <c:pt idx="214">
                  <c:v>45959</c:v>
                </c:pt>
                <c:pt idx="215">
                  <c:v>45960</c:v>
                </c:pt>
                <c:pt idx="216">
                  <c:v>45961</c:v>
                </c:pt>
                <c:pt idx="217">
                  <c:v>45964</c:v>
                </c:pt>
                <c:pt idx="218">
                  <c:v>45965</c:v>
                </c:pt>
                <c:pt idx="219">
                  <c:v>45966</c:v>
                </c:pt>
                <c:pt idx="220">
                  <c:v>45967</c:v>
                </c:pt>
                <c:pt idx="221">
                  <c:v>45968</c:v>
                </c:pt>
                <c:pt idx="222">
                  <c:v>45971</c:v>
                </c:pt>
                <c:pt idx="223">
                  <c:v>45972</c:v>
                </c:pt>
                <c:pt idx="224">
                  <c:v>45973</c:v>
                </c:pt>
                <c:pt idx="225">
                  <c:v>45974</c:v>
                </c:pt>
                <c:pt idx="226">
                  <c:v>45975</c:v>
                </c:pt>
                <c:pt idx="227">
                  <c:v>45978</c:v>
                </c:pt>
                <c:pt idx="228">
                  <c:v>45979</c:v>
                </c:pt>
                <c:pt idx="229">
                  <c:v>45980</c:v>
                </c:pt>
                <c:pt idx="230">
                  <c:v>45981</c:v>
                </c:pt>
                <c:pt idx="231">
                  <c:v>45982</c:v>
                </c:pt>
                <c:pt idx="232">
                  <c:v>45985</c:v>
                </c:pt>
                <c:pt idx="233">
                  <c:v>45986</c:v>
                </c:pt>
                <c:pt idx="234">
                  <c:v>45987</c:v>
                </c:pt>
                <c:pt idx="235">
                  <c:v>45988</c:v>
                </c:pt>
                <c:pt idx="236">
                  <c:v>45989</c:v>
                </c:pt>
                <c:pt idx="237">
                  <c:v>45992</c:v>
                </c:pt>
                <c:pt idx="238">
                  <c:v>45993</c:v>
                </c:pt>
                <c:pt idx="239">
                  <c:v>45994</c:v>
                </c:pt>
                <c:pt idx="240">
                  <c:v>45995</c:v>
                </c:pt>
                <c:pt idx="241">
                  <c:v>45996</c:v>
                </c:pt>
                <c:pt idx="242">
                  <c:v>45999</c:v>
                </c:pt>
                <c:pt idx="243">
                  <c:v>46000</c:v>
                </c:pt>
                <c:pt idx="244">
                  <c:v>46001</c:v>
                </c:pt>
                <c:pt idx="245">
                  <c:v>46002</c:v>
                </c:pt>
                <c:pt idx="246">
                  <c:v>46003</c:v>
                </c:pt>
                <c:pt idx="247">
                  <c:v>46006</c:v>
                </c:pt>
                <c:pt idx="248">
                  <c:v>46007</c:v>
                </c:pt>
                <c:pt idx="249">
                  <c:v>46008</c:v>
                </c:pt>
                <c:pt idx="250">
                  <c:v>46009</c:v>
                </c:pt>
                <c:pt idx="251">
                  <c:v>46010</c:v>
                </c:pt>
              </c:numCache>
            </c:numRef>
          </c:cat>
          <c:val>
            <c:numRef>
              <c:f>'1_Precios'!$G$2:$G$253</c:f>
              <c:numCache>
                <c:formatCode>General</c:formatCode>
                <c:ptCount val="252"/>
                <c:pt idx="0">
                  <c:v>7000</c:v>
                </c:pt>
                <c:pt idx="1">
                  <c:v>7060.38</c:v>
                </c:pt>
                <c:pt idx="2">
                  <c:v>7117.14</c:v>
                </c:pt>
                <c:pt idx="3">
                  <c:v>6986.28</c:v>
                </c:pt>
                <c:pt idx="4">
                  <c:v>6979.31</c:v>
                </c:pt>
                <c:pt idx="5">
                  <c:v>7019.77</c:v>
                </c:pt>
                <c:pt idx="6">
                  <c:v>7051.07</c:v>
                </c:pt>
                <c:pt idx="7">
                  <c:v>6985.11</c:v>
                </c:pt>
                <c:pt idx="8">
                  <c:v>6937.72</c:v>
                </c:pt>
                <c:pt idx="9">
                  <c:v>6957.78</c:v>
                </c:pt>
                <c:pt idx="10">
                  <c:v>6879.11</c:v>
                </c:pt>
                <c:pt idx="11">
                  <c:v>6868.23</c:v>
                </c:pt>
                <c:pt idx="12">
                  <c:v>6760.26</c:v>
                </c:pt>
                <c:pt idx="13">
                  <c:v>6763.51</c:v>
                </c:pt>
                <c:pt idx="14">
                  <c:v>6680.83</c:v>
                </c:pt>
                <c:pt idx="15">
                  <c:v>6689.04</c:v>
                </c:pt>
                <c:pt idx="16">
                  <c:v>6779.24</c:v>
                </c:pt>
                <c:pt idx="17">
                  <c:v>6873.02</c:v>
                </c:pt>
                <c:pt idx="18">
                  <c:v>6952.87</c:v>
                </c:pt>
                <c:pt idx="19">
                  <c:v>6840.38</c:v>
                </c:pt>
                <c:pt idx="20">
                  <c:v>6880.23</c:v>
                </c:pt>
                <c:pt idx="21">
                  <c:v>6843.93</c:v>
                </c:pt>
                <c:pt idx="22">
                  <c:v>6756.63</c:v>
                </c:pt>
                <c:pt idx="23">
                  <c:v>6771.41</c:v>
                </c:pt>
                <c:pt idx="24">
                  <c:v>6821.57</c:v>
                </c:pt>
                <c:pt idx="25">
                  <c:v>6972.29</c:v>
                </c:pt>
                <c:pt idx="26">
                  <c:v>6955.88</c:v>
                </c:pt>
                <c:pt idx="27">
                  <c:v>7048.27</c:v>
                </c:pt>
                <c:pt idx="28">
                  <c:v>6799.56</c:v>
                </c:pt>
                <c:pt idx="29">
                  <c:v>6776.64</c:v>
                </c:pt>
                <c:pt idx="30">
                  <c:v>6777.16</c:v>
                </c:pt>
                <c:pt idx="31">
                  <c:v>6735.65</c:v>
                </c:pt>
                <c:pt idx="32">
                  <c:v>6807.22</c:v>
                </c:pt>
                <c:pt idx="33">
                  <c:v>6791.24</c:v>
                </c:pt>
                <c:pt idx="34">
                  <c:v>6862.81</c:v>
                </c:pt>
                <c:pt idx="35">
                  <c:v>6938.16</c:v>
                </c:pt>
                <c:pt idx="36">
                  <c:v>6868.89</c:v>
                </c:pt>
                <c:pt idx="37">
                  <c:v>6858.72</c:v>
                </c:pt>
                <c:pt idx="38">
                  <c:v>6854.65</c:v>
                </c:pt>
                <c:pt idx="39">
                  <c:v>6842.32</c:v>
                </c:pt>
                <c:pt idx="40">
                  <c:v>6785.12</c:v>
                </c:pt>
                <c:pt idx="41">
                  <c:v>6730.43</c:v>
                </c:pt>
                <c:pt idx="42">
                  <c:v>6763.4</c:v>
                </c:pt>
                <c:pt idx="43">
                  <c:v>6701.31</c:v>
                </c:pt>
                <c:pt idx="44">
                  <c:v>6665.63</c:v>
                </c:pt>
                <c:pt idx="45">
                  <c:v>6724.28</c:v>
                </c:pt>
                <c:pt idx="46">
                  <c:v>6777.68</c:v>
                </c:pt>
                <c:pt idx="47">
                  <c:v>6780.47</c:v>
                </c:pt>
                <c:pt idx="48">
                  <c:v>6695.97</c:v>
                </c:pt>
                <c:pt idx="49">
                  <c:v>6557.03</c:v>
                </c:pt>
                <c:pt idx="50">
                  <c:v>6567.48</c:v>
                </c:pt>
                <c:pt idx="51">
                  <c:v>6566.57</c:v>
                </c:pt>
                <c:pt idx="52">
                  <c:v>6634.21</c:v>
                </c:pt>
                <c:pt idx="53">
                  <c:v>6701.26</c:v>
                </c:pt>
                <c:pt idx="54">
                  <c:v>6671.43</c:v>
                </c:pt>
                <c:pt idx="55">
                  <c:v>6659.82</c:v>
                </c:pt>
                <c:pt idx="56">
                  <c:v>6660.86</c:v>
                </c:pt>
                <c:pt idx="57">
                  <c:v>6668.83</c:v>
                </c:pt>
                <c:pt idx="58">
                  <c:v>6704.37</c:v>
                </c:pt>
                <c:pt idx="59">
                  <c:v>6801.87</c:v>
                </c:pt>
                <c:pt idx="60">
                  <c:v>6835.1</c:v>
                </c:pt>
                <c:pt idx="61">
                  <c:v>6860.73</c:v>
                </c:pt>
                <c:pt idx="62">
                  <c:v>6843.68</c:v>
                </c:pt>
                <c:pt idx="63">
                  <c:v>6793.74</c:v>
                </c:pt>
                <c:pt idx="64">
                  <c:v>6745.91</c:v>
                </c:pt>
                <c:pt idx="65">
                  <c:v>6702.69</c:v>
                </c:pt>
                <c:pt idx="66">
                  <c:v>6710.52</c:v>
                </c:pt>
                <c:pt idx="67">
                  <c:v>6780.67</c:v>
                </c:pt>
                <c:pt idx="68">
                  <c:v>6723.98</c:v>
                </c:pt>
                <c:pt idx="69">
                  <c:v>6657.38</c:v>
                </c:pt>
                <c:pt idx="70">
                  <c:v>6679.14</c:v>
                </c:pt>
                <c:pt idx="71">
                  <c:v>6851.09</c:v>
                </c:pt>
                <c:pt idx="72">
                  <c:v>6771.41</c:v>
                </c:pt>
                <c:pt idx="73">
                  <c:v>6695.07</c:v>
                </c:pt>
                <c:pt idx="74">
                  <c:v>6674.71</c:v>
                </c:pt>
                <c:pt idx="75">
                  <c:v>6651.11</c:v>
                </c:pt>
                <c:pt idx="76">
                  <c:v>6606.33</c:v>
                </c:pt>
                <c:pt idx="77">
                  <c:v>6631.78</c:v>
                </c:pt>
                <c:pt idx="78">
                  <c:v>6563.67</c:v>
                </c:pt>
                <c:pt idx="79">
                  <c:v>6437.89</c:v>
                </c:pt>
                <c:pt idx="80">
                  <c:v>6457.26</c:v>
                </c:pt>
                <c:pt idx="81">
                  <c:v>6413.08</c:v>
                </c:pt>
                <c:pt idx="82">
                  <c:v>6436.42</c:v>
                </c:pt>
                <c:pt idx="83">
                  <c:v>6437.1</c:v>
                </c:pt>
                <c:pt idx="84">
                  <c:v>6455.43</c:v>
                </c:pt>
                <c:pt idx="85">
                  <c:v>6411.8</c:v>
                </c:pt>
                <c:pt idx="86">
                  <c:v>6346.23</c:v>
                </c:pt>
                <c:pt idx="87">
                  <c:v>6277.94</c:v>
                </c:pt>
                <c:pt idx="88">
                  <c:v>6299.27</c:v>
                </c:pt>
                <c:pt idx="89">
                  <c:v>6167.08</c:v>
                </c:pt>
                <c:pt idx="90">
                  <c:v>6178.25</c:v>
                </c:pt>
                <c:pt idx="91">
                  <c:v>6176.42</c:v>
                </c:pt>
                <c:pt idx="92">
                  <c:v>6246.41</c:v>
                </c:pt>
                <c:pt idx="93">
                  <c:v>6138.18</c:v>
                </c:pt>
                <c:pt idx="94">
                  <c:v>6132.92</c:v>
                </c:pt>
                <c:pt idx="95">
                  <c:v>6161.88</c:v>
                </c:pt>
                <c:pt idx="96">
                  <c:v>6094.46</c:v>
                </c:pt>
                <c:pt idx="97">
                  <c:v>6188.12</c:v>
                </c:pt>
                <c:pt idx="98">
                  <c:v>6129.56</c:v>
                </c:pt>
                <c:pt idx="99">
                  <c:v>6079.2</c:v>
                </c:pt>
                <c:pt idx="100">
                  <c:v>6199.3</c:v>
                </c:pt>
                <c:pt idx="101">
                  <c:v>6275.17</c:v>
                </c:pt>
                <c:pt idx="102">
                  <c:v>6330.5</c:v>
                </c:pt>
                <c:pt idx="103">
                  <c:v>6348.85</c:v>
                </c:pt>
                <c:pt idx="104">
                  <c:v>6280.57</c:v>
                </c:pt>
                <c:pt idx="105">
                  <c:v>6135.13</c:v>
                </c:pt>
                <c:pt idx="106">
                  <c:v>6181.63</c:v>
                </c:pt>
                <c:pt idx="107">
                  <c:v>6294.62</c:v>
                </c:pt>
                <c:pt idx="108">
                  <c:v>6273.66</c:v>
                </c:pt>
                <c:pt idx="109">
                  <c:v>6254.63</c:v>
                </c:pt>
                <c:pt idx="110">
                  <c:v>6259.96</c:v>
                </c:pt>
                <c:pt idx="111">
                  <c:v>6255.25</c:v>
                </c:pt>
                <c:pt idx="112">
                  <c:v>6327.19</c:v>
                </c:pt>
                <c:pt idx="113">
                  <c:v>6411.62</c:v>
                </c:pt>
                <c:pt idx="114">
                  <c:v>6471.86</c:v>
                </c:pt>
                <c:pt idx="115">
                  <c:v>6417.44</c:v>
                </c:pt>
                <c:pt idx="116">
                  <c:v>6455.23</c:v>
                </c:pt>
                <c:pt idx="117">
                  <c:v>6459.08</c:v>
                </c:pt>
                <c:pt idx="118">
                  <c:v>6461.77</c:v>
                </c:pt>
                <c:pt idx="119">
                  <c:v>6339.84</c:v>
                </c:pt>
                <c:pt idx="120">
                  <c:v>6274.57</c:v>
                </c:pt>
                <c:pt idx="121">
                  <c:v>6368.9</c:v>
                </c:pt>
                <c:pt idx="122">
                  <c:v>6425.05</c:v>
                </c:pt>
                <c:pt idx="123">
                  <c:v>6428.78</c:v>
                </c:pt>
                <c:pt idx="124">
                  <c:v>6516.42</c:v>
                </c:pt>
                <c:pt idx="125">
                  <c:v>6520.84</c:v>
                </c:pt>
                <c:pt idx="126">
                  <c:v>6368.41</c:v>
                </c:pt>
                <c:pt idx="127">
                  <c:v>6328.84</c:v>
                </c:pt>
                <c:pt idx="128">
                  <c:v>6256.92</c:v>
                </c:pt>
                <c:pt idx="129">
                  <c:v>6288.47</c:v>
                </c:pt>
                <c:pt idx="130">
                  <c:v>6333.79</c:v>
                </c:pt>
                <c:pt idx="131">
                  <c:v>6246.96</c:v>
                </c:pt>
                <c:pt idx="132">
                  <c:v>6198.77</c:v>
                </c:pt>
                <c:pt idx="133">
                  <c:v>6266.42</c:v>
                </c:pt>
                <c:pt idx="134">
                  <c:v>6247.49</c:v>
                </c:pt>
                <c:pt idx="135">
                  <c:v>6244.1</c:v>
                </c:pt>
                <c:pt idx="136">
                  <c:v>6215.21</c:v>
                </c:pt>
                <c:pt idx="137">
                  <c:v>6231.01</c:v>
                </c:pt>
                <c:pt idx="138">
                  <c:v>6311.18</c:v>
                </c:pt>
                <c:pt idx="139">
                  <c:v>6432.03</c:v>
                </c:pt>
                <c:pt idx="140">
                  <c:v>6402.25</c:v>
                </c:pt>
                <c:pt idx="141">
                  <c:v>6379.27</c:v>
                </c:pt>
                <c:pt idx="142">
                  <c:v>6381.07</c:v>
                </c:pt>
                <c:pt idx="143">
                  <c:v>6314.2</c:v>
                </c:pt>
                <c:pt idx="144">
                  <c:v>6194.42</c:v>
                </c:pt>
                <c:pt idx="145">
                  <c:v>6224.15</c:v>
                </c:pt>
                <c:pt idx="146">
                  <c:v>6098.23</c:v>
                </c:pt>
                <c:pt idx="147">
                  <c:v>6080.09</c:v>
                </c:pt>
                <c:pt idx="148">
                  <c:v>6138.41</c:v>
                </c:pt>
                <c:pt idx="149">
                  <c:v>6166.04</c:v>
                </c:pt>
                <c:pt idx="150">
                  <c:v>6102.2</c:v>
                </c:pt>
                <c:pt idx="151">
                  <c:v>6107.85</c:v>
                </c:pt>
                <c:pt idx="152">
                  <c:v>6119.54</c:v>
                </c:pt>
                <c:pt idx="153">
                  <c:v>6217.53</c:v>
                </c:pt>
                <c:pt idx="154">
                  <c:v>6296.43</c:v>
                </c:pt>
                <c:pt idx="155">
                  <c:v>6351.32</c:v>
                </c:pt>
                <c:pt idx="156">
                  <c:v>6371.53</c:v>
                </c:pt>
                <c:pt idx="157">
                  <c:v>6311.35</c:v>
                </c:pt>
                <c:pt idx="158">
                  <c:v>6395.67</c:v>
                </c:pt>
                <c:pt idx="159">
                  <c:v>6469.89</c:v>
                </c:pt>
                <c:pt idx="160">
                  <c:v>6484.33</c:v>
                </c:pt>
                <c:pt idx="161">
                  <c:v>6462.32</c:v>
                </c:pt>
                <c:pt idx="162">
                  <c:v>6511.03</c:v>
                </c:pt>
                <c:pt idx="163">
                  <c:v>6499.16</c:v>
                </c:pt>
                <c:pt idx="164">
                  <c:v>6529.65</c:v>
                </c:pt>
                <c:pt idx="165">
                  <c:v>6608.89</c:v>
                </c:pt>
                <c:pt idx="166">
                  <c:v>6585.68</c:v>
                </c:pt>
                <c:pt idx="167">
                  <c:v>6600.55</c:v>
                </c:pt>
                <c:pt idx="168">
                  <c:v>6569.08</c:v>
                </c:pt>
                <c:pt idx="169">
                  <c:v>6505.67</c:v>
                </c:pt>
                <c:pt idx="170">
                  <c:v>6500.17</c:v>
                </c:pt>
                <c:pt idx="171">
                  <c:v>6459.68</c:v>
                </c:pt>
                <c:pt idx="172">
                  <c:v>6533.22</c:v>
                </c:pt>
                <c:pt idx="173">
                  <c:v>6525.6</c:v>
                </c:pt>
                <c:pt idx="174">
                  <c:v>6507.01</c:v>
                </c:pt>
                <c:pt idx="175">
                  <c:v>6476.76</c:v>
                </c:pt>
                <c:pt idx="176">
                  <c:v>6503.38</c:v>
                </c:pt>
                <c:pt idx="177">
                  <c:v>6522.53</c:v>
                </c:pt>
                <c:pt idx="178">
                  <c:v>6516.21</c:v>
                </c:pt>
                <c:pt idx="179">
                  <c:v>6405.16</c:v>
                </c:pt>
                <c:pt idx="180">
                  <c:v>6375.44</c:v>
                </c:pt>
                <c:pt idx="181">
                  <c:v>6281.07</c:v>
                </c:pt>
                <c:pt idx="182">
                  <c:v>6313.4</c:v>
                </c:pt>
                <c:pt idx="183">
                  <c:v>6351.53</c:v>
                </c:pt>
                <c:pt idx="184">
                  <c:v>6442.13</c:v>
                </c:pt>
                <c:pt idx="185">
                  <c:v>6467.86</c:v>
                </c:pt>
                <c:pt idx="186">
                  <c:v>6448.01</c:v>
                </c:pt>
                <c:pt idx="187">
                  <c:v>6345.02</c:v>
                </c:pt>
                <c:pt idx="188">
                  <c:v>6327.78</c:v>
                </c:pt>
                <c:pt idx="189">
                  <c:v>6180.58</c:v>
                </c:pt>
                <c:pt idx="190">
                  <c:v>6167.51</c:v>
                </c:pt>
                <c:pt idx="191">
                  <c:v>6230.3</c:v>
                </c:pt>
                <c:pt idx="192">
                  <c:v>6329.33</c:v>
                </c:pt>
                <c:pt idx="193">
                  <c:v>6283.11</c:v>
                </c:pt>
                <c:pt idx="194">
                  <c:v>6325.68</c:v>
                </c:pt>
                <c:pt idx="195">
                  <c:v>6307.34</c:v>
                </c:pt>
                <c:pt idx="196">
                  <c:v>6322.33</c:v>
                </c:pt>
                <c:pt idx="197">
                  <c:v>6306.2</c:v>
                </c:pt>
                <c:pt idx="198">
                  <c:v>6360.5</c:v>
                </c:pt>
                <c:pt idx="199">
                  <c:v>6357.07</c:v>
                </c:pt>
                <c:pt idx="200">
                  <c:v>6430.22</c:v>
                </c:pt>
                <c:pt idx="201">
                  <c:v>6444.75</c:v>
                </c:pt>
                <c:pt idx="202">
                  <c:v>6385</c:v>
                </c:pt>
                <c:pt idx="203">
                  <c:v>6334.8</c:v>
                </c:pt>
                <c:pt idx="204">
                  <c:v>6348.1</c:v>
                </c:pt>
                <c:pt idx="205">
                  <c:v>6320.33</c:v>
                </c:pt>
                <c:pt idx="206">
                  <c:v>6326.27</c:v>
                </c:pt>
                <c:pt idx="207">
                  <c:v>6359.77</c:v>
                </c:pt>
                <c:pt idx="208">
                  <c:v>6259.06</c:v>
                </c:pt>
                <c:pt idx="209">
                  <c:v>6308.15</c:v>
                </c:pt>
                <c:pt idx="210">
                  <c:v>6204.28</c:v>
                </c:pt>
                <c:pt idx="211">
                  <c:v>6223.86</c:v>
                </c:pt>
                <c:pt idx="212">
                  <c:v>6371.9</c:v>
                </c:pt>
                <c:pt idx="213">
                  <c:v>6437.5</c:v>
                </c:pt>
                <c:pt idx="214">
                  <c:v>6379.21</c:v>
                </c:pt>
                <c:pt idx="215">
                  <c:v>6292.99</c:v>
                </c:pt>
                <c:pt idx="216">
                  <c:v>6352.64</c:v>
                </c:pt>
                <c:pt idx="217">
                  <c:v>6407.8</c:v>
                </c:pt>
                <c:pt idx="218">
                  <c:v>6336.82</c:v>
                </c:pt>
                <c:pt idx="219">
                  <c:v>6393.77</c:v>
                </c:pt>
                <c:pt idx="220">
                  <c:v>6382.67</c:v>
                </c:pt>
                <c:pt idx="221">
                  <c:v>6428.3</c:v>
                </c:pt>
                <c:pt idx="222">
                  <c:v>6496.25</c:v>
                </c:pt>
                <c:pt idx="223">
                  <c:v>6429.91</c:v>
                </c:pt>
                <c:pt idx="224">
                  <c:v>6399.14</c:v>
                </c:pt>
                <c:pt idx="225">
                  <c:v>6476.14</c:v>
                </c:pt>
                <c:pt idx="226">
                  <c:v>6540.81</c:v>
                </c:pt>
                <c:pt idx="227">
                  <c:v>6467.81</c:v>
                </c:pt>
                <c:pt idx="228">
                  <c:v>6443.05</c:v>
                </c:pt>
                <c:pt idx="229">
                  <c:v>6456.97</c:v>
                </c:pt>
                <c:pt idx="230">
                  <c:v>6509.53</c:v>
                </c:pt>
                <c:pt idx="231">
                  <c:v>6503.2</c:v>
                </c:pt>
                <c:pt idx="232">
                  <c:v>6583.99</c:v>
                </c:pt>
                <c:pt idx="233">
                  <c:v>6625.95</c:v>
                </c:pt>
                <c:pt idx="234">
                  <c:v>6657.92</c:v>
                </c:pt>
                <c:pt idx="235">
                  <c:v>6697.8</c:v>
                </c:pt>
                <c:pt idx="236">
                  <c:v>6689.57</c:v>
                </c:pt>
                <c:pt idx="237">
                  <c:v>6649.38</c:v>
                </c:pt>
                <c:pt idx="238">
                  <c:v>6554.34</c:v>
                </c:pt>
                <c:pt idx="239">
                  <c:v>6550.07</c:v>
                </c:pt>
                <c:pt idx="240">
                  <c:v>6513.43</c:v>
                </c:pt>
                <c:pt idx="241">
                  <c:v>6465.72</c:v>
                </c:pt>
                <c:pt idx="242">
                  <c:v>6415.05</c:v>
                </c:pt>
                <c:pt idx="243">
                  <c:v>6398.16</c:v>
                </c:pt>
                <c:pt idx="244">
                  <c:v>6514.93</c:v>
                </c:pt>
                <c:pt idx="245">
                  <c:v>6503.82</c:v>
                </c:pt>
                <c:pt idx="246">
                  <c:v>6558.35</c:v>
                </c:pt>
                <c:pt idx="247">
                  <c:v>6559.44</c:v>
                </c:pt>
                <c:pt idx="248">
                  <c:v>6584.47</c:v>
                </c:pt>
                <c:pt idx="249">
                  <c:v>6473.51</c:v>
                </c:pt>
                <c:pt idx="250">
                  <c:v>6545.37</c:v>
                </c:pt>
                <c:pt idx="251">
                  <c:v>6558.76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</c:scaling>
        <c:axPos val="b"/>
        <c:numFmt formatCode="mmm-yy" sourceLinked="0"/>
        <c:tickLblPos val="nextTo"/>
        <c:crossAx val="50010002"/>
        <c:crosses val="autoZero"/>
        <c:auto val="1"/>
        <c:lblOffset val="100"/>
      </c:date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Riesgo vs retorno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Combinaciones</c:v>
          </c:tx>
          <c:spPr>
            <a:ln>
              <a:solidFill>
                <a:srgbClr val="2E75B6"/>
              </a:solidFill>
            </a:ln>
          </c:spPr>
          <c:marker>
            <c:symbol val="circle"/>
            <c:size val="5"/>
          </c:marker>
          <c:xVal>
            <c:numRef>
              <c:f>'4_Frontera_2A'!$D$16:$D$36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xVal>
          <c:yVal>
            <c:numRef>
              <c:f>'4_Frontera_2A'!$C$16:$C$36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v>Min. varianza</c:v>
          </c:tx>
          <c:spPr>
            <a:ln>
              <a:noFill/>
            </a:ln>
          </c:spPr>
          <c:marker>
            <c:symbol val="diamond"/>
            <c:size val="10"/>
            <c:spPr>
              <a:solidFill>
                <a:srgbClr val="C00000"/>
              </a:solidFill>
            </c:spPr>
          </c:marker>
          <c:xVal>
            <c:numRef>
              <c:f>'4_Frontera_2A'!$B$12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'4_Frontera_2A'!$B$11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Volatilidad anual</a:t>
                </a:r>
              </a:p>
            </c:rich>
          </c:tx>
          <c:layout/>
        </c:title>
        <c:numFmt formatCode="0%" sourceLinked="0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Retorno anual</a:t>
                </a:r>
              </a:p>
            </c:rich>
          </c:tx>
          <c:layout/>
        </c:title>
        <c:numFmt formatCode="0%" sourceLinked="0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Cartera vs IPSA (base 100)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Mi cartera</c:v>
          </c:tx>
          <c:spPr>
            <a:ln w="22225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'5_Cartera'!$I$3:$I$253</c:f>
              <c:numCache>
                <c:formatCode>General</c:formatCode>
                <c:ptCount val="2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</c:numCache>
            </c:numRef>
          </c:cat>
          <c:val>
            <c:numRef>
              <c:f>'5_Cartera'!$M$3:$M$253</c:f>
              <c:numCache>
                <c:formatCode>General</c:formatCode>
                <c:ptCount val="2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</c:numCache>
            </c:numRef>
          </c:val>
        </c:ser>
        <c:ser>
          <c:idx val="1"/>
          <c:order val="1"/>
          <c:tx>
            <c:v>IPSA</c:v>
          </c:tx>
          <c:spPr>
            <a:ln w="15875">
              <a:solidFill>
                <a:srgbClr val="1F3864"/>
              </a:solidFill>
            </a:ln>
          </c:spPr>
          <c:marker>
            <c:symbol val="none"/>
          </c:marker>
          <c:cat>
            <c:numRef>
              <c:f>'5_Cartera'!$I$3:$I$253</c:f>
              <c:numCache>
                <c:formatCode>General</c:formatCode>
                <c:ptCount val="2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</c:numCache>
            </c:numRef>
          </c:cat>
          <c:val>
            <c:numRef>
              <c:f>'5_Cartera'!$O$3:$O$253</c:f>
              <c:numCache>
                <c:formatCode>General</c:formatCode>
                <c:ptCount val="2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</c:numCache>
            </c:numRef>
          </c:val>
        </c:ser>
        <c:marker val="1"/>
        <c:axId val="50030001"/>
        <c:axId val="50030002"/>
      </c:lineChart>
      <c:dateAx>
        <c:axId val="50030001"/>
        <c:scaling>
          <c:orientation val="minMax"/>
        </c:scaling>
        <c:axPos val="b"/>
        <c:numFmt formatCode="mmm-yy" sourceLinked="0"/>
        <c:tickLblPos val="nextTo"/>
        <c:crossAx val="50030002"/>
        <c:crosses val="autoZero"/>
        <c:auto val="1"/>
        <c:lblOffset val="100"/>
      </c:date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Regresion de la beta (MINERA)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MINERA vs IPSA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2E75B6"/>
              </a:solidFill>
            </c:spPr>
          </c:marker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'2_Retornos'!$G$2:$G$252</c:f>
              <c:numCache>
                <c:formatCode>General</c:formatCode>
                <c:ptCount val="2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</c:numCache>
            </c:numRef>
          </c:xVal>
          <c:yVal>
            <c:numRef>
              <c:f>'2_Retornos'!$D$2:$D$252</c:f>
              <c:numCache>
                <c:formatCode>General</c:formatCode>
                <c:ptCount val="2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Retorno IPSA</a:t>
                </a:r>
              </a:p>
            </c:rich>
          </c:tx>
          <c:layout/>
        </c:title>
        <c:numFmt formatCode="0%" sourceLinked="0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Retorno MINERA</a:t>
                </a:r>
              </a:p>
            </c:rich>
          </c:tx>
          <c:layout/>
        </c:title>
        <c:numFmt formatCode="0%" sourceLinked="0"/>
        <c:tickLblPos val="nextTo"/>
        <c:crossAx val="5004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Precio, medias moviles y Bollinger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Precio</c:v>
          </c:tx>
          <c:spPr>
            <a:ln w="190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'7_Tecnico'!$A$4:$A$255</c:f>
              <c:numCache>
                <c:formatCode>General</c:formatCode>
                <c:ptCount val="2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</c:numCache>
            </c:numRef>
          </c:cat>
          <c:val>
            <c:numRef>
              <c:f>'7_Tecnico'!$B$4:$B$255</c:f>
              <c:numCache>
                <c:formatCode>General</c:formatCode>
                <c:ptCount val="2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</c:numCache>
            </c:numRef>
          </c:val>
        </c:ser>
        <c:ser>
          <c:idx val="1"/>
          <c:order val="1"/>
          <c:tx>
            <c:v>SMA 20</c:v>
          </c:tx>
          <c:spPr>
            <a:ln w="15875">
              <a:solidFill>
                <a:srgbClr val="ED7D31"/>
              </a:solidFill>
            </a:ln>
          </c:spPr>
          <c:marker>
            <c:symbol val="none"/>
          </c:marker>
          <c:cat>
            <c:numRef>
              <c:f>'7_Tecnico'!$A$4:$A$255</c:f>
              <c:numCache>
                <c:formatCode>General</c:formatCode>
                <c:ptCount val="2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</c:numCache>
            </c:numRef>
          </c:cat>
          <c:val>
            <c:numRef>
              <c:f>'7_Tecnico'!$C$4:$C$255</c:f>
              <c:numCache>
                <c:formatCode>General</c:formatCode>
                <c:ptCount val="252"/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</c:numCache>
            </c:numRef>
          </c:val>
        </c:ser>
        <c:ser>
          <c:idx val="2"/>
          <c:order val="2"/>
          <c:tx>
            <c:v>SMA 50</c:v>
          </c:tx>
          <c:spPr>
            <a:ln w="15875">
              <a:solidFill>
                <a:srgbClr val="2E75B6"/>
              </a:solidFill>
            </a:ln>
          </c:spPr>
          <c:marker>
            <c:symbol val="none"/>
          </c:marker>
          <c:cat>
            <c:numRef>
              <c:f>'7_Tecnico'!$A$4:$A$255</c:f>
              <c:numCache>
                <c:formatCode>General</c:formatCode>
                <c:ptCount val="2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</c:numCache>
            </c:numRef>
          </c:cat>
          <c:val>
            <c:numRef>
              <c:f>'7_Tecnico'!$D$4:$D$255</c:f>
              <c:numCache>
                <c:formatCode>General</c:formatCode>
                <c:ptCount val="252"/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</c:numCache>
            </c:numRef>
          </c:val>
        </c:ser>
        <c:ser>
          <c:idx val="3"/>
          <c:order val="3"/>
          <c:tx>
            <c:v>Bollinger sup</c:v>
          </c:tx>
          <c:spPr>
            <a:ln w="9525">
              <a:solidFill>
                <a:srgbClr val="A5A5A5"/>
              </a:solidFill>
            </a:ln>
          </c:spPr>
          <c:marker>
            <c:symbol val="none"/>
          </c:marker>
          <c:cat>
            <c:numRef>
              <c:f>'7_Tecnico'!$A$4:$A$255</c:f>
              <c:numCache>
                <c:formatCode>General</c:formatCode>
                <c:ptCount val="2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</c:numCache>
            </c:numRef>
          </c:cat>
          <c:val>
            <c:numRef>
              <c:f>'7_Tecnico'!$I$4:$I$255</c:f>
              <c:numCache>
                <c:formatCode>General</c:formatCode>
                <c:ptCount val="252"/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</c:numCache>
            </c:numRef>
          </c:val>
        </c:ser>
        <c:ser>
          <c:idx val="4"/>
          <c:order val="4"/>
          <c:tx>
            <c:v>Bollinger inf</c:v>
          </c:tx>
          <c:spPr>
            <a:ln w="9525">
              <a:solidFill>
                <a:srgbClr val="A5A5A5"/>
              </a:solidFill>
            </a:ln>
          </c:spPr>
          <c:marker>
            <c:symbol val="none"/>
          </c:marker>
          <c:cat>
            <c:numRef>
              <c:f>'7_Tecnico'!$A$4:$A$255</c:f>
              <c:numCache>
                <c:formatCode>General</c:formatCode>
                <c:ptCount val="2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</c:numCache>
            </c:numRef>
          </c:cat>
          <c:val>
            <c:numRef>
              <c:f>'7_Tecnico'!$J$4:$J$255</c:f>
              <c:numCache>
                <c:formatCode>General</c:formatCode>
                <c:ptCount val="252"/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</c:numCache>
            </c:numRef>
          </c:val>
        </c:ser>
        <c:marker val="1"/>
        <c:axId val="50050001"/>
        <c:axId val="50050002"/>
      </c:lineChart>
      <c:dateAx>
        <c:axId val="50050001"/>
        <c:scaling>
          <c:orientation val="minMax"/>
        </c:scaling>
        <c:axPos val="b"/>
        <c:numFmt formatCode="mmm-yy" sourceLinked="0"/>
        <c:tickLblPos val="nextTo"/>
        <c:crossAx val="50050002"/>
        <c:crosses val="autoZero"/>
        <c:auto val="1"/>
        <c:lblOffset val="100"/>
      </c:date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RSI(14): &gt;70 sobrecompra, &lt;30 sobreventa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RSI 14</c:v>
          </c:tx>
          <c:spPr>
            <a:ln w="15875">
              <a:solidFill>
                <a:srgbClr val="7030A0"/>
              </a:solidFill>
            </a:ln>
          </c:spPr>
          <c:marker>
            <c:symbol val="none"/>
          </c:marker>
          <c:cat>
            <c:numRef>
              <c:f>'7_Tecnico'!$A$4:$A$255</c:f>
              <c:numCache>
                <c:formatCode>General</c:formatCode>
                <c:ptCount val="2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</c:numCache>
            </c:numRef>
          </c:cat>
          <c:val>
            <c:numRef>
              <c:f>'7_Tecnico'!$H$4:$H$255</c:f>
              <c:numCache>
                <c:formatCode>General</c:formatCode>
                <c:ptCount val="252"/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</c:numCache>
            </c:numRef>
          </c:val>
        </c:ser>
        <c:marker val="1"/>
        <c:axId val="50060001"/>
        <c:axId val="50060002"/>
      </c:lineChart>
      <c:dateAx>
        <c:axId val="50060001"/>
        <c:scaling>
          <c:orientation val="minMax"/>
        </c:scaling>
        <c:axPos val="b"/>
        <c:numFmt formatCode="mmm-yy" sourceLinked="0"/>
        <c:tickLblPos val="nextTo"/>
        <c:crossAx val="50060002"/>
        <c:crosses val="autoZero"/>
        <c:auto val="1"/>
        <c:lblOffset val="100"/>
      </c:dateAx>
      <c:valAx>
        <c:axId val="50060002"/>
        <c:scaling>
          <c:orientation val="minMax"/>
          <c:max val="100"/>
          <c:min val="0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  <c:majorUnit val="10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Drawdown: MINERA vs IPSA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DD MINERA</c:v>
          </c:tx>
          <c:spPr>
            <a:solidFill>
              <a:srgbClr val="F8696B">
                <a:alpha val="70000"/>
              </a:srgbClr>
            </a:solidFill>
          </c:spPr>
          <c:cat>
            <c:numRef>
              <c:f>'8_Drawdown'!$A$2:$A$253</c:f>
              <c:numCache>
                <c:formatCode>General</c:formatCode>
                <c:ptCount val="2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</c:numCache>
            </c:numRef>
          </c:cat>
          <c:val>
            <c:numRef>
              <c:f>'8_Drawdown'!$D$2:$D$253</c:f>
              <c:numCache>
                <c:formatCode>General</c:formatCode>
                <c:ptCount val="2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</c:numCache>
            </c:numRef>
          </c:val>
        </c:ser>
        <c:ser>
          <c:idx val="1"/>
          <c:order val="1"/>
          <c:tx>
            <c:v>DD IPSA</c:v>
          </c:tx>
          <c:spPr>
            <a:solidFill>
              <a:srgbClr val="1F3864">
                <a:alpha val="60000"/>
              </a:srgbClr>
            </a:solidFill>
          </c:spPr>
          <c:cat>
            <c:numRef>
              <c:f>'8_Drawdown'!$A$2:$A$253</c:f>
              <c:numCache>
                <c:formatCode>General</c:formatCode>
                <c:ptCount val="2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</c:numCache>
            </c:numRef>
          </c:cat>
          <c:val>
            <c:numRef>
              <c:f>'8_Drawdown'!$G$2:$G$253</c:f>
              <c:numCache>
                <c:formatCode>General</c:formatCode>
                <c:ptCount val="2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</c:numCache>
            </c:numRef>
          </c:val>
        </c:ser>
        <c:axId val="50070001"/>
        <c:axId val="50070002"/>
      </c:areaChart>
      <c:dateAx>
        <c:axId val="50070001"/>
        <c:scaling>
          <c:orientation val="minMax"/>
        </c:scaling>
        <c:axPos val="b"/>
        <c:numFmt formatCode="mmm-yy" sourceLinked="0"/>
        <c:tickLblPos val="nextTo"/>
        <c:crossAx val="50070002"/>
        <c:crosses val="autoZero"/>
        <c:auto val="1"/>
        <c:lblOffset val="100"/>
      </c:dateAx>
      <c:valAx>
        <c:axId val="50070002"/>
        <c:scaling>
          <c:orientation val="minMax"/>
        </c:scaling>
        <c:axPos val="l"/>
        <c:majorGridlines/>
        <c:numFmt formatCode="0%" sourceLinked="0"/>
        <c:tickLblPos val="nextTo"/>
        <c:crossAx val="5007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Composicion (acciones)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Composicion</c:v>
          </c:tx>
          <c:dLbls>
            <c:showPercent val="1"/>
          </c:dLbls>
          <c:cat>
            <c:strRef>
              <c:f>'9_Simulador_CCI'!$P$13:$P$15</c:f>
              <c:strCache>
                <c:ptCount val="3"/>
                <c:pt idx="0">
                  <c:v>BANCO</c:v>
                </c:pt>
                <c:pt idx="1">
                  <c:v>MINERA</c:v>
                </c:pt>
                <c:pt idx="2">
                  <c:v>ENERGIA</c:v>
                </c:pt>
              </c:strCache>
            </c:strRef>
          </c:cat>
          <c:val>
            <c:numRef>
              <c:f>'9_Simulador_CCI'!$T$13:$T$15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304800</xdr:colOff>
      <xdr:row>17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15</xdr:col>
      <xdr:colOff>457200</xdr:colOff>
      <xdr:row>21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0</xdr:rowOff>
    </xdr:from>
    <xdr:to>
      <xdr:col>5</xdr:col>
      <xdr:colOff>885825</xdr:colOff>
      <xdr:row>42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5</xdr:col>
      <xdr:colOff>295275</xdr:colOff>
      <xdr:row>34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24</xdr:col>
      <xdr:colOff>304800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23</xdr:row>
      <xdr:rowOff>0</xdr:rowOff>
    </xdr:from>
    <xdr:to>
      <xdr:col>24</xdr:col>
      <xdr:colOff>304800</xdr:colOff>
      <xdr:row>35</xdr:row>
      <xdr:rowOff>180975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10</xdr:row>
      <xdr:rowOff>0</xdr:rowOff>
    </xdr:from>
    <xdr:to>
      <xdr:col>17</xdr:col>
      <xdr:colOff>314325</xdr:colOff>
      <xdr:row>25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3</xdr:row>
      <xdr:rowOff>0</xdr:rowOff>
    </xdr:from>
    <xdr:to>
      <xdr:col>29</xdr:col>
      <xdr:colOff>457200</xdr:colOff>
      <xdr:row>15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C32"/>
  <sheetViews>
    <sheetView tabSelected="1" workbookViewId="0"/>
  </sheetViews>
  <sheetFormatPr defaultRowHeight="15"/>
  <cols>
    <col min="1" max="1" width="4.7109375" customWidth="1"/>
    <col min="2" max="2" width="28.7109375" customWidth="1"/>
    <col min="3" max="3" width="95.7109375" customWidth="1"/>
  </cols>
  <sheetData>
    <row r="2" spans="2:3">
      <c r="B2" s="1" t="s">
        <v>0</v>
      </c>
    </row>
    <row r="3" spans="2:3">
      <c r="B3" s="2" t="s">
        <v>1</v>
      </c>
    </row>
    <row r="5" spans="2:3">
      <c r="B5" s="3" t="s">
        <v>2</v>
      </c>
    </row>
    <row r="6" spans="2:3">
      <c r="B6" s="4" t="s">
        <v>3</v>
      </c>
      <c r="C6" t="s">
        <v>4</v>
      </c>
    </row>
    <row r="7" spans="2:3">
      <c r="B7" s="5" t="s">
        <v>5</v>
      </c>
      <c r="C7" t="s">
        <v>6</v>
      </c>
    </row>
    <row r="8" spans="2:3">
      <c r="B8" s="6" t="s">
        <v>7</v>
      </c>
      <c r="C8" t="s">
        <v>8</v>
      </c>
    </row>
    <row r="10" spans="2:3">
      <c r="B10" s="7" t="s">
        <v>9</v>
      </c>
      <c r="C10" s="7" t="s">
        <v>10</v>
      </c>
    </row>
    <row r="11" spans="2:3">
      <c r="B11" s="8" t="s">
        <v>11</v>
      </c>
      <c r="C11" s="9" t="s">
        <v>12</v>
      </c>
    </row>
    <row r="12" spans="2:3">
      <c r="B12" s="8" t="s">
        <v>13</v>
      </c>
      <c r="C12" s="9" t="s">
        <v>14</v>
      </c>
    </row>
    <row r="13" spans="2:3">
      <c r="B13" s="8" t="s">
        <v>15</v>
      </c>
      <c r="C13" s="9" t="s">
        <v>16</v>
      </c>
    </row>
    <row r="14" spans="2:3">
      <c r="B14" s="8" t="s">
        <v>17</v>
      </c>
      <c r="C14" s="9" t="s">
        <v>18</v>
      </c>
    </row>
    <row r="15" spans="2:3">
      <c r="B15" s="8" t="s">
        <v>19</v>
      </c>
      <c r="C15" s="9" t="s">
        <v>20</v>
      </c>
    </row>
    <row r="16" spans="2:3">
      <c r="B16" s="8" t="s">
        <v>21</v>
      </c>
      <c r="C16" s="9" t="s">
        <v>22</v>
      </c>
    </row>
    <row r="17" spans="2:3">
      <c r="B17" s="8" t="s">
        <v>23</v>
      </c>
      <c r="C17" s="9" t="s">
        <v>24</v>
      </c>
    </row>
    <row r="18" spans="2:3">
      <c r="B18" s="8" t="s">
        <v>25</v>
      </c>
      <c r="C18" s="9" t="s">
        <v>26</v>
      </c>
    </row>
    <row r="19" spans="2:3">
      <c r="B19" s="8" t="s">
        <v>27</v>
      </c>
      <c r="C19" s="9" t="s">
        <v>28</v>
      </c>
    </row>
    <row r="20" spans="2:3">
      <c r="B20" s="8" t="s">
        <v>29</v>
      </c>
      <c r="C20" s="9" t="s">
        <v>30</v>
      </c>
    </row>
    <row r="21" spans="2:3">
      <c r="B21" s="8" t="s">
        <v>31</v>
      </c>
      <c r="C21" s="9" t="s">
        <v>32</v>
      </c>
    </row>
    <row r="22" spans="2:3">
      <c r="B22" s="8" t="s">
        <v>33</v>
      </c>
      <c r="C22" s="9" t="s">
        <v>34</v>
      </c>
    </row>
    <row r="23" spans="2:3">
      <c r="B23" s="8" t="s">
        <v>35</v>
      </c>
      <c r="C23" s="9" t="s">
        <v>36</v>
      </c>
    </row>
    <row r="26" spans="2:3">
      <c r="B26" s="3" t="s">
        <v>37</v>
      </c>
    </row>
    <row r="27" spans="2:3">
      <c r="C27" s="9" t="s">
        <v>38</v>
      </c>
    </row>
    <row r="28" spans="2:3">
      <c r="C28" s="9" t="s">
        <v>39</v>
      </c>
    </row>
    <row r="29" spans="2:3">
      <c r="C29" s="9" t="s">
        <v>40</v>
      </c>
    </row>
    <row r="30" spans="2:3">
      <c r="C30" s="9" t="s">
        <v>41</v>
      </c>
    </row>
    <row r="31" spans="2:3">
      <c r="C31" s="9" t="s">
        <v>42</v>
      </c>
    </row>
    <row r="32" spans="2:3">
      <c r="C32" s="6" t="s">
        <v>43</v>
      </c>
    </row>
  </sheetData>
  <hyperlinks>
    <hyperlink ref="B11" location="'1_Precios'!A1" display="1_Precios"/>
    <hyperlink ref="B12" location="'2_Retornos'!A1" display="2_Retornos"/>
    <hyperlink ref="B13" location="'3_Cov_Correl'!A1" display="3_Cov_Correl"/>
    <hyperlink ref="B14" location="'4_Frontera_2A'!A1" display="4_Frontera_2A"/>
    <hyperlink ref="B15" location="'5_Cartera'!A1" display="5_Cartera"/>
    <hyperlink ref="B16" location="'6_Beta_CAPM'!A1" display="6_Beta_CAPM"/>
    <hyperlink ref="B17" location="'7_Tecnico'!A1" display="7_Tecnico"/>
    <hyperlink ref="B18" location="'8_Drawdown'!A1" display="8_Drawdown"/>
    <hyperlink ref="B19" location="'9_Simulador_CCI'!A1" display="9_Simulador_CCI"/>
    <hyperlink ref="B20" location="'10_Torneo'!A1" display="10_Torneo"/>
    <hyperlink ref="B21" location="'11_Screener'!A1" display="11_Screener"/>
    <hyperlink ref="B22" location="'12_Calendario'!A1" display="12_Calendario"/>
    <hyperlink ref="B23" location="'13_Plan_Estudio'!A1" display="13_Plan_Estudio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5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7" width="12.7109375" customWidth="1"/>
  </cols>
  <sheetData>
    <row r="1" spans="1:9">
      <c r="A1" s="7" t="s">
        <v>44</v>
      </c>
      <c r="B1" s="7" t="s">
        <v>45</v>
      </c>
      <c r="C1" s="7" t="s">
        <v>46</v>
      </c>
      <c r="D1" s="7" t="s">
        <v>47</v>
      </c>
      <c r="E1" s="7" t="s">
        <v>48</v>
      </c>
      <c r="F1" s="7" t="s">
        <v>49</v>
      </c>
      <c r="G1" s="7" t="s">
        <v>50</v>
      </c>
      <c r="I1" s="6" t="s">
        <v>51</v>
      </c>
    </row>
    <row r="2" spans="1:9">
      <c r="A2" s="10">
        <v>45659</v>
      </c>
      <c r="B2" s="11">
        <v>5200</v>
      </c>
      <c r="C2" s="11">
        <v>2100</v>
      </c>
      <c r="D2" s="11">
        <v>41000</v>
      </c>
      <c r="E2" s="11">
        <v>95</v>
      </c>
      <c r="F2" s="11">
        <v>6800</v>
      </c>
      <c r="G2" s="11">
        <v>7000</v>
      </c>
    </row>
    <row r="3" spans="1:9">
      <c r="A3" s="10">
        <v>45660</v>
      </c>
      <c r="B3" s="11">
        <v>5199.25</v>
      </c>
      <c r="C3" s="11">
        <v>2137</v>
      </c>
      <c r="D3" s="11">
        <v>41549.37</v>
      </c>
      <c r="E3" s="11">
        <v>95.88</v>
      </c>
      <c r="F3" s="11">
        <v>6847.64</v>
      </c>
      <c r="G3" s="11">
        <v>7060.38</v>
      </c>
    </row>
    <row r="4" spans="1:9">
      <c r="A4" s="10">
        <v>45663</v>
      </c>
      <c r="B4" s="11">
        <v>5218.97</v>
      </c>
      <c r="C4" s="11">
        <v>2120</v>
      </c>
      <c r="D4" s="11">
        <v>42744.95</v>
      </c>
      <c r="E4" s="11">
        <v>96.06999999999999</v>
      </c>
      <c r="F4" s="11">
        <v>6904.96</v>
      </c>
      <c r="G4" s="11">
        <v>7117.14</v>
      </c>
    </row>
    <row r="5" spans="1:9">
      <c r="A5" s="10">
        <v>45664</v>
      </c>
      <c r="B5" s="11">
        <v>5055.01</v>
      </c>
      <c r="C5" s="11">
        <v>2043.88</v>
      </c>
      <c r="D5" s="11">
        <v>40630.26</v>
      </c>
      <c r="E5" s="11">
        <v>95.61</v>
      </c>
      <c r="F5" s="11">
        <v>6780.96</v>
      </c>
      <c r="G5" s="11">
        <v>6986.28</v>
      </c>
    </row>
    <row r="6" spans="1:9">
      <c r="A6" s="10">
        <v>45665</v>
      </c>
      <c r="B6" s="11">
        <v>5060.47</v>
      </c>
      <c r="C6" s="11">
        <v>2073.95</v>
      </c>
      <c r="D6" s="11">
        <v>42226.06</v>
      </c>
      <c r="E6" s="11">
        <v>95.36</v>
      </c>
      <c r="F6" s="11">
        <v>6722.13</v>
      </c>
      <c r="G6" s="11">
        <v>6979.31</v>
      </c>
    </row>
    <row r="7" spans="1:9">
      <c r="A7" s="10">
        <v>45666</v>
      </c>
      <c r="B7" s="11">
        <v>5007.77</v>
      </c>
      <c r="C7" s="11">
        <v>2059.43</v>
      </c>
      <c r="D7" s="11">
        <v>40841.1</v>
      </c>
      <c r="E7" s="11">
        <v>94.28</v>
      </c>
      <c r="F7" s="11">
        <v>6854.64</v>
      </c>
      <c r="G7" s="11">
        <v>7019.77</v>
      </c>
    </row>
    <row r="8" spans="1:9">
      <c r="A8" s="10">
        <v>45667</v>
      </c>
      <c r="B8" s="11">
        <v>4985.59</v>
      </c>
      <c r="C8" s="11">
        <v>2110.26</v>
      </c>
      <c r="D8" s="11">
        <v>40941.19</v>
      </c>
      <c r="E8" s="11">
        <v>94.59999999999999</v>
      </c>
      <c r="F8" s="11">
        <v>6857.1</v>
      </c>
      <c r="G8" s="11">
        <v>7051.07</v>
      </c>
    </row>
    <row r="9" spans="1:9">
      <c r="A9" s="10">
        <v>45670</v>
      </c>
      <c r="B9" s="11">
        <v>4901.59</v>
      </c>
      <c r="C9" s="11">
        <v>2138.76</v>
      </c>
      <c r="D9" s="11">
        <v>40006.07</v>
      </c>
      <c r="E9" s="11">
        <v>95</v>
      </c>
      <c r="F9" s="11">
        <v>6889.08</v>
      </c>
      <c r="G9" s="11">
        <v>6985.11</v>
      </c>
    </row>
    <row r="10" spans="1:9">
      <c r="A10" s="10">
        <v>45671</v>
      </c>
      <c r="B10" s="11">
        <v>4826.61</v>
      </c>
      <c r="C10" s="11">
        <v>2182.11</v>
      </c>
      <c r="D10" s="11">
        <v>38906.16</v>
      </c>
      <c r="E10" s="11">
        <v>94.44</v>
      </c>
      <c r="F10" s="11">
        <v>6750.42</v>
      </c>
      <c r="G10" s="11">
        <v>6937.72</v>
      </c>
    </row>
    <row r="11" spans="1:9">
      <c r="A11" s="10">
        <v>45672</v>
      </c>
      <c r="B11" s="11">
        <v>4815.24</v>
      </c>
      <c r="C11" s="11">
        <v>2224.17</v>
      </c>
      <c r="D11" s="11">
        <v>39772.57</v>
      </c>
      <c r="E11" s="11">
        <v>94.90000000000001</v>
      </c>
      <c r="F11" s="11">
        <v>6787.39</v>
      </c>
      <c r="G11" s="11">
        <v>6957.78</v>
      </c>
    </row>
    <row r="12" spans="1:9">
      <c r="A12" s="10">
        <v>45673</v>
      </c>
      <c r="B12" s="11">
        <v>4719.9</v>
      </c>
      <c r="C12" s="11">
        <v>2229.04</v>
      </c>
      <c r="D12" s="11">
        <v>39014.02</v>
      </c>
      <c r="E12" s="11">
        <v>94.11</v>
      </c>
      <c r="F12" s="11">
        <v>6672.32</v>
      </c>
      <c r="G12" s="11">
        <v>6879.11</v>
      </c>
    </row>
    <row r="13" spans="1:9">
      <c r="A13" s="10">
        <v>45674</v>
      </c>
      <c r="B13" s="11">
        <v>4693.18</v>
      </c>
      <c r="C13" s="11">
        <v>2205.28</v>
      </c>
      <c r="D13" s="11">
        <v>39309.44</v>
      </c>
      <c r="E13" s="11">
        <v>93.56</v>
      </c>
      <c r="F13" s="11">
        <v>6685.45</v>
      </c>
      <c r="G13" s="11">
        <v>6868.23</v>
      </c>
    </row>
    <row r="14" spans="1:9">
      <c r="A14" s="10">
        <v>45677</v>
      </c>
      <c r="B14" s="11">
        <v>4652.94</v>
      </c>
      <c r="C14" s="11">
        <v>2188.82</v>
      </c>
      <c r="D14" s="11">
        <v>37445.41</v>
      </c>
      <c r="E14" s="11">
        <v>91.2</v>
      </c>
      <c r="F14" s="11">
        <v>6578.1</v>
      </c>
      <c r="G14" s="11">
        <v>6760.26</v>
      </c>
    </row>
    <row r="15" spans="1:9">
      <c r="A15" s="10">
        <v>45678</v>
      </c>
      <c r="B15" s="11">
        <v>4616.69</v>
      </c>
      <c r="C15" s="11">
        <v>2188.9</v>
      </c>
      <c r="D15" s="11">
        <v>37895.47</v>
      </c>
      <c r="E15" s="11">
        <v>91.81</v>
      </c>
      <c r="F15" s="11">
        <v>6586.91</v>
      </c>
      <c r="G15" s="11">
        <v>6763.51</v>
      </c>
    </row>
    <row r="16" spans="1:9">
      <c r="A16" s="10">
        <v>45679</v>
      </c>
      <c r="B16" s="11">
        <v>4525.1</v>
      </c>
      <c r="C16" s="11">
        <v>2156.82</v>
      </c>
      <c r="D16" s="11">
        <v>36503.92</v>
      </c>
      <c r="E16" s="11">
        <v>92.76000000000001</v>
      </c>
      <c r="F16" s="11">
        <v>6420.38</v>
      </c>
      <c r="G16" s="11">
        <v>6680.83</v>
      </c>
    </row>
    <row r="17" spans="1:7">
      <c r="A17" s="10">
        <v>45680</v>
      </c>
      <c r="B17" s="11">
        <v>4487.6</v>
      </c>
      <c r="C17" s="11">
        <v>2115.26</v>
      </c>
      <c r="D17" s="11">
        <v>36223.89</v>
      </c>
      <c r="E17" s="11">
        <v>93.7</v>
      </c>
      <c r="F17" s="11">
        <v>6406.45</v>
      </c>
      <c r="G17" s="11">
        <v>6689.04</v>
      </c>
    </row>
    <row r="18" spans="1:7">
      <c r="A18" s="10">
        <v>45681</v>
      </c>
      <c r="B18" s="11">
        <v>4545.6</v>
      </c>
      <c r="C18" s="11">
        <v>2196.38</v>
      </c>
      <c r="D18" s="11">
        <v>36950.96</v>
      </c>
      <c r="E18" s="11">
        <v>93.81</v>
      </c>
      <c r="F18" s="11">
        <v>6464.65</v>
      </c>
      <c r="G18" s="11">
        <v>6779.24</v>
      </c>
    </row>
    <row r="19" spans="1:7">
      <c r="A19" s="10">
        <v>45684</v>
      </c>
      <c r="B19" s="11">
        <v>4606.34</v>
      </c>
      <c r="C19" s="11">
        <v>2271.98</v>
      </c>
      <c r="D19" s="11">
        <v>37578.7</v>
      </c>
      <c r="E19" s="11">
        <v>95.70999999999999</v>
      </c>
      <c r="F19" s="11">
        <v>6512.28</v>
      </c>
      <c r="G19" s="11">
        <v>6873.02</v>
      </c>
    </row>
    <row r="20" spans="1:7">
      <c r="A20" s="10">
        <v>45685</v>
      </c>
      <c r="B20" s="11">
        <v>4723.9</v>
      </c>
      <c r="C20" s="11">
        <v>2246.12</v>
      </c>
      <c r="D20" s="11">
        <v>38842.66</v>
      </c>
      <c r="E20" s="11">
        <v>95.95</v>
      </c>
      <c r="F20" s="11">
        <v>6725.87</v>
      </c>
      <c r="G20" s="11">
        <v>6952.87</v>
      </c>
    </row>
    <row r="21" spans="1:7">
      <c r="A21" s="10">
        <v>45686</v>
      </c>
      <c r="B21" s="11">
        <v>4627.98</v>
      </c>
      <c r="C21" s="11">
        <v>2205.1</v>
      </c>
      <c r="D21" s="11">
        <v>39383.51</v>
      </c>
      <c r="E21" s="11">
        <v>94.73999999999999</v>
      </c>
      <c r="F21" s="11">
        <v>6680.38</v>
      </c>
      <c r="G21" s="11">
        <v>6840.38</v>
      </c>
    </row>
    <row r="22" spans="1:7">
      <c r="A22" s="10">
        <v>45687</v>
      </c>
      <c r="B22" s="11">
        <v>4618.66</v>
      </c>
      <c r="C22" s="11">
        <v>2257.55</v>
      </c>
      <c r="D22" s="11">
        <v>38865.75</v>
      </c>
      <c r="E22" s="11">
        <v>94.81999999999999</v>
      </c>
      <c r="F22" s="11">
        <v>6729.41</v>
      </c>
      <c r="G22" s="11">
        <v>6880.23</v>
      </c>
    </row>
    <row r="23" spans="1:7">
      <c r="A23" s="10">
        <v>45688</v>
      </c>
      <c r="B23" s="11">
        <v>4539.79</v>
      </c>
      <c r="C23" s="11">
        <v>2259.46</v>
      </c>
      <c r="D23" s="11">
        <v>39580.21</v>
      </c>
      <c r="E23" s="11">
        <v>95.43000000000001</v>
      </c>
      <c r="F23" s="11">
        <v>6818.68</v>
      </c>
      <c r="G23" s="11">
        <v>6843.93</v>
      </c>
    </row>
    <row r="24" spans="1:7">
      <c r="A24" s="10">
        <v>45691</v>
      </c>
      <c r="B24" s="11">
        <v>4550.2</v>
      </c>
      <c r="C24" s="11">
        <v>2202.23</v>
      </c>
      <c r="D24" s="11">
        <v>39476.59</v>
      </c>
      <c r="E24" s="11">
        <v>93.69</v>
      </c>
      <c r="F24" s="11">
        <v>6779.45</v>
      </c>
      <c r="G24" s="11">
        <v>6756.63</v>
      </c>
    </row>
    <row r="25" spans="1:7">
      <c r="A25" s="10">
        <v>45692</v>
      </c>
      <c r="B25" s="11">
        <v>4504.45</v>
      </c>
      <c r="C25" s="11">
        <v>2235.33</v>
      </c>
      <c r="D25" s="11">
        <v>39987.58</v>
      </c>
      <c r="E25" s="11">
        <v>93.77</v>
      </c>
      <c r="F25" s="11">
        <v>6752.55</v>
      </c>
      <c r="G25" s="11">
        <v>6771.41</v>
      </c>
    </row>
    <row r="26" spans="1:7">
      <c r="A26" s="10">
        <v>45693</v>
      </c>
      <c r="B26" s="11">
        <v>4529.6</v>
      </c>
      <c r="C26" s="11">
        <v>2133.35</v>
      </c>
      <c r="D26" s="11">
        <v>40973.68</v>
      </c>
      <c r="E26" s="11">
        <v>94.25</v>
      </c>
      <c r="F26" s="11">
        <v>6840.57</v>
      </c>
      <c r="G26" s="11">
        <v>6821.57</v>
      </c>
    </row>
    <row r="27" spans="1:7">
      <c r="A27" s="10">
        <v>45694</v>
      </c>
      <c r="B27" s="11">
        <v>4590.76</v>
      </c>
      <c r="C27" s="11">
        <v>2122.26</v>
      </c>
      <c r="D27" s="11">
        <v>41386.11</v>
      </c>
      <c r="E27" s="11">
        <v>94.09</v>
      </c>
      <c r="F27" s="11">
        <v>7072.41</v>
      </c>
      <c r="G27" s="11">
        <v>6972.29</v>
      </c>
    </row>
    <row r="28" spans="1:7">
      <c r="A28" s="10">
        <v>45695</v>
      </c>
      <c r="B28" s="11">
        <v>4520.26</v>
      </c>
      <c r="C28" s="11">
        <v>2110.33</v>
      </c>
      <c r="D28" s="11">
        <v>41784.76</v>
      </c>
      <c r="E28" s="11">
        <v>94.70999999999999</v>
      </c>
      <c r="F28" s="11">
        <v>7157.18</v>
      </c>
      <c r="G28" s="11">
        <v>6955.88</v>
      </c>
    </row>
    <row r="29" spans="1:7">
      <c r="A29" s="10">
        <v>45698</v>
      </c>
      <c r="B29" s="11">
        <v>4617.04</v>
      </c>
      <c r="C29" s="11">
        <v>2133.73</v>
      </c>
      <c r="D29" s="11">
        <v>43153.25</v>
      </c>
      <c r="E29" s="11">
        <v>96.45</v>
      </c>
      <c r="F29" s="11">
        <v>7251.83</v>
      </c>
      <c r="G29" s="11">
        <v>7048.27</v>
      </c>
    </row>
    <row r="30" spans="1:7">
      <c r="A30" s="10">
        <v>45699</v>
      </c>
      <c r="B30" s="11">
        <v>4451.61</v>
      </c>
      <c r="C30" s="11">
        <v>2016.65</v>
      </c>
      <c r="D30" s="11">
        <v>40659.15</v>
      </c>
      <c r="E30" s="11">
        <v>95.34999999999999</v>
      </c>
      <c r="F30" s="11">
        <v>6937.01</v>
      </c>
      <c r="G30" s="11">
        <v>6799.56</v>
      </c>
    </row>
    <row r="31" spans="1:7">
      <c r="A31" s="10">
        <v>45700</v>
      </c>
      <c r="B31" s="11">
        <v>4519.81</v>
      </c>
      <c r="C31" s="11">
        <v>2026.01</v>
      </c>
      <c r="D31" s="11">
        <v>41710.6</v>
      </c>
      <c r="E31" s="11">
        <v>96.2</v>
      </c>
      <c r="F31" s="11">
        <v>6923.7</v>
      </c>
      <c r="G31" s="11">
        <v>6776.64</v>
      </c>
    </row>
    <row r="32" spans="1:7">
      <c r="A32" s="10">
        <v>45701</v>
      </c>
      <c r="B32" s="11">
        <v>4477.79</v>
      </c>
      <c r="C32" s="11">
        <v>2029.55</v>
      </c>
      <c r="D32" s="11">
        <v>42400.49</v>
      </c>
      <c r="E32" s="11">
        <v>94.67</v>
      </c>
      <c r="F32" s="11">
        <v>7155.43</v>
      </c>
      <c r="G32" s="11">
        <v>6777.16</v>
      </c>
    </row>
    <row r="33" spans="1:7">
      <c r="A33" s="10">
        <v>45702</v>
      </c>
      <c r="B33" s="11">
        <v>4430.94</v>
      </c>
      <c r="C33" s="11">
        <v>2030.23</v>
      </c>
      <c r="D33" s="11">
        <v>42922.98</v>
      </c>
      <c r="E33" s="11">
        <v>94.73</v>
      </c>
      <c r="F33" s="11">
        <v>7201.62</v>
      </c>
      <c r="G33" s="11">
        <v>6735.65</v>
      </c>
    </row>
    <row r="34" spans="1:7">
      <c r="A34" s="10">
        <v>45705</v>
      </c>
      <c r="B34" s="11">
        <v>4523.18</v>
      </c>
      <c r="C34" s="11">
        <v>2112.17</v>
      </c>
      <c r="D34" s="11">
        <v>41817.12</v>
      </c>
      <c r="E34" s="11">
        <v>95.2</v>
      </c>
      <c r="F34" s="11">
        <v>7254.75</v>
      </c>
      <c r="G34" s="11">
        <v>6807.22</v>
      </c>
    </row>
    <row r="35" spans="1:7">
      <c r="A35" s="10">
        <v>45706</v>
      </c>
      <c r="B35" s="11">
        <v>4509.92</v>
      </c>
      <c r="C35" s="11">
        <v>2083.65</v>
      </c>
      <c r="D35" s="11">
        <v>42243.68</v>
      </c>
      <c r="E35" s="11">
        <v>95.16</v>
      </c>
      <c r="F35" s="11">
        <v>7281.57</v>
      </c>
      <c r="G35" s="11">
        <v>6791.24</v>
      </c>
    </row>
    <row r="36" spans="1:7">
      <c r="A36" s="10">
        <v>45707</v>
      </c>
      <c r="B36" s="11">
        <v>4543.47</v>
      </c>
      <c r="C36" s="11">
        <v>2101.17</v>
      </c>
      <c r="D36" s="11">
        <v>43858.54</v>
      </c>
      <c r="E36" s="11">
        <v>95.69</v>
      </c>
      <c r="F36" s="11">
        <v>7420.06</v>
      </c>
      <c r="G36" s="11">
        <v>6862.81</v>
      </c>
    </row>
    <row r="37" spans="1:7">
      <c r="A37" s="10">
        <v>45708</v>
      </c>
      <c r="B37" s="11">
        <v>4548.89</v>
      </c>
      <c r="C37" s="11">
        <v>2098.43</v>
      </c>
      <c r="D37" s="11">
        <v>45382.74</v>
      </c>
      <c r="E37" s="11">
        <v>95.90000000000001</v>
      </c>
      <c r="F37" s="11">
        <v>7424.8</v>
      </c>
      <c r="G37" s="11">
        <v>6938.16</v>
      </c>
    </row>
    <row r="38" spans="1:7">
      <c r="A38" s="10">
        <v>45709</v>
      </c>
      <c r="B38" s="11">
        <v>4518.63</v>
      </c>
      <c r="C38" s="11">
        <v>2061.91</v>
      </c>
      <c r="D38" s="11">
        <v>43033.87</v>
      </c>
      <c r="E38" s="11">
        <v>95.16</v>
      </c>
      <c r="F38" s="11">
        <v>7334.49</v>
      </c>
      <c r="G38" s="11">
        <v>6868.89</v>
      </c>
    </row>
    <row r="39" spans="1:7">
      <c r="A39" s="10">
        <v>45712</v>
      </c>
      <c r="B39" s="11">
        <v>4470.5</v>
      </c>
      <c r="C39" s="11">
        <v>2046.25</v>
      </c>
      <c r="D39" s="11">
        <v>42759.92</v>
      </c>
      <c r="E39" s="11">
        <v>95.14</v>
      </c>
      <c r="F39" s="11">
        <v>7293.95</v>
      </c>
      <c r="G39" s="11">
        <v>6858.72</v>
      </c>
    </row>
    <row r="40" spans="1:7">
      <c r="A40" s="10">
        <v>45713</v>
      </c>
      <c r="B40" s="11">
        <v>4432.84</v>
      </c>
      <c r="C40" s="11">
        <v>2044.88</v>
      </c>
      <c r="D40" s="11">
        <v>42736.6</v>
      </c>
      <c r="E40" s="11">
        <v>94.56</v>
      </c>
      <c r="F40" s="11">
        <v>7249.9</v>
      </c>
      <c r="G40" s="11">
        <v>6854.65</v>
      </c>
    </row>
    <row r="41" spans="1:7">
      <c r="A41" s="10">
        <v>45714</v>
      </c>
      <c r="B41" s="11">
        <v>4466.62</v>
      </c>
      <c r="C41" s="11">
        <v>2006.6</v>
      </c>
      <c r="D41" s="11">
        <v>44249.12</v>
      </c>
      <c r="E41" s="11">
        <v>94.22</v>
      </c>
      <c r="F41" s="11">
        <v>7097.55</v>
      </c>
      <c r="G41" s="11">
        <v>6842.32</v>
      </c>
    </row>
    <row r="42" spans="1:7">
      <c r="A42" s="10">
        <v>45715</v>
      </c>
      <c r="B42" s="11">
        <v>4406.76</v>
      </c>
      <c r="C42" s="11">
        <v>1994.89</v>
      </c>
      <c r="D42" s="11">
        <v>43930.16</v>
      </c>
      <c r="E42" s="11">
        <v>93.26000000000001</v>
      </c>
      <c r="F42" s="11">
        <v>7027.12</v>
      </c>
      <c r="G42" s="11">
        <v>6785.12</v>
      </c>
    </row>
    <row r="43" spans="1:7">
      <c r="A43" s="10">
        <v>45716</v>
      </c>
      <c r="B43" s="11">
        <v>4335.3</v>
      </c>
      <c r="C43" s="11">
        <v>1980.46</v>
      </c>
      <c r="D43" s="11">
        <v>42539.94</v>
      </c>
      <c r="E43" s="11">
        <v>93.05</v>
      </c>
      <c r="F43" s="11">
        <v>6918.15</v>
      </c>
      <c r="G43" s="11">
        <v>6730.43</v>
      </c>
    </row>
    <row r="44" spans="1:7">
      <c r="A44" s="10">
        <v>45719</v>
      </c>
      <c r="B44" s="11">
        <v>4393.88</v>
      </c>
      <c r="C44" s="11">
        <v>2032.84</v>
      </c>
      <c r="D44" s="11">
        <v>42597.4</v>
      </c>
      <c r="E44" s="11">
        <v>93.01000000000001</v>
      </c>
      <c r="F44" s="11">
        <v>6927.65</v>
      </c>
      <c r="G44" s="11">
        <v>6763.4</v>
      </c>
    </row>
    <row r="45" spans="1:7">
      <c r="A45" s="10">
        <v>45720</v>
      </c>
      <c r="B45" s="11">
        <v>4426.13</v>
      </c>
      <c r="C45" s="11">
        <v>1983.01</v>
      </c>
      <c r="D45" s="11">
        <v>43509.83</v>
      </c>
      <c r="E45" s="11">
        <v>92.11</v>
      </c>
      <c r="F45" s="11">
        <v>6891.85</v>
      </c>
      <c r="G45" s="11">
        <v>6701.31</v>
      </c>
    </row>
    <row r="46" spans="1:7">
      <c r="A46" s="10">
        <v>45721</v>
      </c>
      <c r="B46" s="11">
        <v>4380.96</v>
      </c>
      <c r="C46" s="11">
        <v>1953.1</v>
      </c>
      <c r="D46" s="11">
        <v>44274.91</v>
      </c>
      <c r="E46" s="11">
        <v>91.66</v>
      </c>
      <c r="F46" s="11">
        <v>6904.01</v>
      </c>
      <c r="G46" s="11">
        <v>6665.63</v>
      </c>
    </row>
    <row r="47" spans="1:7">
      <c r="A47" s="10">
        <v>45722</v>
      </c>
      <c r="B47" s="11">
        <v>4444.33</v>
      </c>
      <c r="C47" s="11">
        <v>1946.17</v>
      </c>
      <c r="D47" s="11">
        <v>45074.28</v>
      </c>
      <c r="E47" s="11">
        <v>93.3</v>
      </c>
      <c r="F47" s="11">
        <v>6963.11</v>
      </c>
      <c r="G47" s="11">
        <v>6724.28</v>
      </c>
    </row>
    <row r="48" spans="1:7">
      <c r="A48" s="10">
        <v>45723</v>
      </c>
      <c r="B48" s="11">
        <v>4464.66</v>
      </c>
      <c r="C48" s="11">
        <v>1942.13</v>
      </c>
      <c r="D48" s="11">
        <v>44715.72</v>
      </c>
      <c r="E48" s="11">
        <v>92.22</v>
      </c>
      <c r="F48" s="11">
        <v>7116.51</v>
      </c>
      <c r="G48" s="11">
        <v>6777.68</v>
      </c>
    </row>
    <row r="49" spans="1:7">
      <c r="A49" s="10">
        <v>45726</v>
      </c>
      <c r="B49" s="11">
        <v>4424.15</v>
      </c>
      <c r="C49" s="11">
        <v>1983.89</v>
      </c>
      <c r="D49" s="11">
        <v>44354.83</v>
      </c>
      <c r="E49" s="11">
        <v>91.77</v>
      </c>
      <c r="F49" s="11">
        <v>7103.24</v>
      </c>
      <c r="G49" s="11">
        <v>6780.47</v>
      </c>
    </row>
    <row r="50" spans="1:7">
      <c r="A50" s="10">
        <v>45727</v>
      </c>
      <c r="B50" s="11">
        <v>4344.82</v>
      </c>
      <c r="C50" s="11">
        <v>1972.47</v>
      </c>
      <c r="D50" s="11">
        <v>44814.52</v>
      </c>
      <c r="E50" s="11">
        <v>90.54000000000001</v>
      </c>
      <c r="F50" s="11">
        <v>7126.11</v>
      </c>
      <c r="G50" s="11">
        <v>6695.97</v>
      </c>
    </row>
    <row r="51" spans="1:7">
      <c r="A51" s="10">
        <v>45728</v>
      </c>
      <c r="B51" s="11">
        <v>4253.37</v>
      </c>
      <c r="C51" s="11">
        <v>1918.26</v>
      </c>
      <c r="D51" s="11">
        <v>44275.17</v>
      </c>
      <c r="E51" s="11">
        <v>88.95</v>
      </c>
      <c r="F51" s="11">
        <v>6955.7</v>
      </c>
      <c r="G51" s="11">
        <v>6557.03</v>
      </c>
    </row>
    <row r="52" spans="1:7">
      <c r="A52" s="10">
        <v>45729</v>
      </c>
      <c r="B52" s="11">
        <v>4268.07</v>
      </c>
      <c r="C52" s="11">
        <v>1889.43</v>
      </c>
      <c r="D52" s="11">
        <v>44996.26</v>
      </c>
      <c r="E52" s="11">
        <v>88.63</v>
      </c>
      <c r="F52" s="11">
        <v>7010.28</v>
      </c>
      <c r="G52" s="11">
        <v>6567.48</v>
      </c>
    </row>
    <row r="53" spans="1:7">
      <c r="A53" s="10">
        <v>45730</v>
      </c>
      <c r="B53" s="11">
        <v>4273.69</v>
      </c>
      <c r="C53" s="11">
        <v>1928.66</v>
      </c>
      <c r="D53" s="11">
        <v>46198.88</v>
      </c>
      <c r="E53" s="11">
        <v>88.61</v>
      </c>
      <c r="F53" s="11">
        <v>7021.34</v>
      </c>
      <c r="G53" s="11">
        <v>6566.57</v>
      </c>
    </row>
    <row r="54" spans="1:7">
      <c r="A54" s="10">
        <v>45733</v>
      </c>
      <c r="B54" s="11">
        <v>4330.6</v>
      </c>
      <c r="C54" s="11">
        <v>1984.8</v>
      </c>
      <c r="D54" s="11">
        <v>46670.53</v>
      </c>
      <c r="E54" s="11">
        <v>90.15000000000001</v>
      </c>
      <c r="F54" s="11">
        <v>7169</v>
      </c>
      <c r="G54" s="11">
        <v>6634.21</v>
      </c>
    </row>
    <row r="55" spans="1:7">
      <c r="A55" s="10">
        <v>45734</v>
      </c>
      <c r="B55" s="11">
        <v>4404.97</v>
      </c>
      <c r="C55" s="11">
        <v>2005.87</v>
      </c>
      <c r="D55" s="11">
        <v>47321.15</v>
      </c>
      <c r="E55" s="11">
        <v>91.23999999999999</v>
      </c>
      <c r="F55" s="11">
        <v>7258.16</v>
      </c>
      <c r="G55" s="11">
        <v>6701.26</v>
      </c>
    </row>
    <row r="56" spans="1:7">
      <c r="A56" s="10">
        <v>45735</v>
      </c>
      <c r="B56" s="11">
        <v>4392.74</v>
      </c>
      <c r="C56" s="11">
        <v>2026.58</v>
      </c>
      <c r="D56" s="11">
        <v>46561.42</v>
      </c>
      <c r="E56" s="11">
        <v>90.72</v>
      </c>
      <c r="F56" s="11">
        <v>7198.18</v>
      </c>
      <c r="G56" s="11">
        <v>6671.43</v>
      </c>
    </row>
    <row r="57" spans="1:7">
      <c r="A57" s="10">
        <v>45736</v>
      </c>
      <c r="B57" s="11">
        <v>4432.29</v>
      </c>
      <c r="C57" s="11">
        <v>2010.43</v>
      </c>
      <c r="D57" s="11">
        <v>45077.19</v>
      </c>
      <c r="E57" s="11">
        <v>90.31</v>
      </c>
      <c r="F57" s="11">
        <v>7174.84</v>
      </c>
      <c r="G57" s="11">
        <v>6659.82</v>
      </c>
    </row>
    <row r="58" spans="1:7">
      <c r="A58" s="10">
        <v>45737</v>
      </c>
      <c r="B58" s="11">
        <v>4427.5</v>
      </c>
      <c r="C58" s="11">
        <v>2041.38</v>
      </c>
      <c r="D58" s="11">
        <v>45669.07</v>
      </c>
      <c r="E58" s="11">
        <v>91.40000000000001</v>
      </c>
      <c r="F58" s="11">
        <v>7387.9</v>
      </c>
      <c r="G58" s="11">
        <v>6660.86</v>
      </c>
    </row>
    <row r="59" spans="1:7">
      <c r="A59" s="10">
        <v>45740</v>
      </c>
      <c r="B59" s="11">
        <v>4424.38</v>
      </c>
      <c r="C59" s="11">
        <v>2081.83</v>
      </c>
      <c r="D59" s="11">
        <v>45035.62</v>
      </c>
      <c r="E59" s="11">
        <v>91.11</v>
      </c>
      <c r="F59" s="11">
        <v>7450.39</v>
      </c>
      <c r="G59" s="11">
        <v>6668.83</v>
      </c>
    </row>
    <row r="60" spans="1:7">
      <c r="A60" s="10">
        <v>45741</v>
      </c>
      <c r="B60" s="11">
        <v>4425.08</v>
      </c>
      <c r="C60" s="11">
        <v>2080.7</v>
      </c>
      <c r="D60" s="11">
        <v>46663.19</v>
      </c>
      <c r="E60" s="11">
        <v>90.47</v>
      </c>
      <c r="F60" s="11">
        <v>7562.85</v>
      </c>
      <c r="G60" s="11">
        <v>6704.37</v>
      </c>
    </row>
    <row r="61" spans="1:7">
      <c r="A61" s="10">
        <v>45742</v>
      </c>
      <c r="B61" s="11">
        <v>4503.13</v>
      </c>
      <c r="C61" s="11">
        <v>2175.63</v>
      </c>
      <c r="D61" s="11">
        <v>47879.7</v>
      </c>
      <c r="E61" s="11">
        <v>91.23999999999999</v>
      </c>
      <c r="F61" s="11">
        <v>7770.62</v>
      </c>
      <c r="G61" s="11">
        <v>6801.87</v>
      </c>
    </row>
    <row r="62" spans="1:7">
      <c r="A62" s="10">
        <v>45743</v>
      </c>
      <c r="B62" s="11">
        <v>4536.4</v>
      </c>
      <c r="C62" s="11">
        <v>2213.51</v>
      </c>
      <c r="D62" s="11">
        <v>48749.94</v>
      </c>
      <c r="E62" s="11">
        <v>90.89</v>
      </c>
      <c r="F62" s="11">
        <v>7802.68</v>
      </c>
      <c r="G62" s="11">
        <v>6835.1</v>
      </c>
    </row>
    <row r="63" spans="1:7">
      <c r="A63" s="10">
        <v>45744</v>
      </c>
      <c r="B63" s="11">
        <v>4567.52</v>
      </c>
      <c r="C63" s="11">
        <v>2213.31</v>
      </c>
      <c r="D63" s="11">
        <v>49205.13</v>
      </c>
      <c r="E63" s="11">
        <v>90.92</v>
      </c>
      <c r="F63" s="11">
        <v>7710.03</v>
      </c>
      <c r="G63" s="11">
        <v>6860.73</v>
      </c>
    </row>
    <row r="64" spans="1:7">
      <c r="A64" s="10">
        <v>45747</v>
      </c>
      <c r="B64" s="11">
        <v>4526.51</v>
      </c>
      <c r="C64" s="11">
        <v>2153.96</v>
      </c>
      <c r="D64" s="11">
        <v>48689.16</v>
      </c>
      <c r="E64" s="11">
        <v>91.58</v>
      </c>
      <c r="F64" s="11">
        <v>7771.61</v>
      </c>
      <c r="G64" s="11">
        <v>6843.68</v>
      </c>
    </row>
    <row r="65" spans="1:7">
      <c r="A65" s="10">
        <v>45748</v>
      </c>
      <c r="B65" s="11">
        <v>4517.98</v>
      </c>
      <c r="C65" s="11">
        <v>2104.47</v>
      </c>
      <c r="D65" s="11">
        <v>48053.61</v>
      </c>
      <c r="E65" s="11">
        <v>90.91</v>
      </c>
      <c r="F65" s="11">
        <v>7791.97</v>
      </c>
      <c r="G65" s="11">
        <v>6793.74</v>
      </c>
    </row>
    <row r="66" spans="1:7">
      <c r="A66" s="10">
        <v>45749</v>
      </c>
      <c r="B66" s="11">
        <v>4535.61</v>
      </c>
      <c r="C66" s="11">
        <v>2170.48</v>
      </c>
      <c r="D66" s="11">
        <v>47953.17</v>
      </c>
      <c r="E66" s="11">
        <v>90.19</v>
      </c>
      <c r="F66" s="11">
        <v>7740.36</v>
      </c>
      <c r="G66" s="11">
        <v>6745.91</v>
      </c>
    </row>
    <row r="67" spans="1:7">
      <c r="A67" s="10">
        <v>45750</v>
      </c>
      <c r="B67" s="11">
        <v>4603.99</v>
      </c>
      <c r="C67" s="11">
        <v>2179.01</v>
      </c>
      <c r="D67" s="11">
        <v>46668.64</v>
      </c>
      <c r="E67" s="11">
        <v>89.59999999999999</v>
      </c>
      <c r="F67" s="11">
        <v>7726.27</v>
      </c>
      <c r="G67" s="11">
        <v>6702.69</v>
      </c>
    </row>
    <row r="68" spans="1:7">
      <c r="A68" s="10">
        <v>45751</v>
      </c>
      <c r="B68" s="11">
        <v>4587.26</v>
      </c>
      <c r="C68" s="11">
        <v>2167.2</v>
      </c>
      <c r="D68" s="11">
        <v>46124.8</v>
      </c>
      <c r="E68" s="11">
        <v>89.78</v>
      </c>
      <c r="F68" s="11">
        <v>7637.13</v>
      </c>
      <c r="G68" s="11">
        <v>6710.52</v>
      </c>
    </row>
    <row r="69" spans="1:7">
      <c r="A69" s="10">
        <v>45754</v>
      </c>
      <c r="B69" s="11">
        <v>4634.98</v>
      </c>
      <c r="C69" s="11">
        <v>2138.59</v>
      </c>
      <c r="D69" s="11">
        <v>46684.63</v>
      </c>
      <c r="E69" s="11">
        <v>90.15000000000001</v>
      </c>
      <c r="F69" s="11">
        <v>7849.56</v>
      </c>
      <c r="G69" s="11">
        <v>6780.67</v>
      </c>
    </row>
    <row r="70" spans="1:7">
      <c r="A70" s="10">
        <v>45755</v>
      </c>
      <c r="B70" s="11">
        <v>4540.96</v>
      </c>
      <c r="C70" s="11">
        <v>2117.61</v>
      </c>
      <c r="D70" s="11">
        <v>46566.35</v>
      </c>
      <c r="E70" s="11">
        <v>89.17</v>
      </c>
      <c r="F70" s="11">
        <v>7877.06</v>
      </c>
      <c r="G70" s="11">
        <v>6723.98</v>
      </c>
    </row>
    <row r="71" spans="1:7">
      <c r="A71" s="10">
        <v>45756</v>
      </c>
      <c r="B71" s="11">
        <v>4492.93</v>
      </c>
      <c r="C71" s="11">
        <v>2060.05</v>
      </c>
      <c r="D71" s="11">
        <v>45130.7</v>
      </c>
      <c r="E71" s="11">
        <v>89.17</v>
      </c>
      <c r="F71" s="11">
        <v>7898.38</v>
      </c>
      <c r="G71" s="11">
        <v>6657.38</v>
      </c>
    </row>
    <row r="72" spans="1:7">
      <c r="A72" s="10">
        <v>45757</v>
      </c>
      <c r="B72" s="11">
        <v>4573.05</v>
      </c>
      <c r="C72" s="11">
        <v>2061.81</v>
      </c>
      <c r="D72" s="11">
        <v>46472.56</v>
      </c>
      <c r="E72" s="11">
        <v>90.31</v>
      </c>
      <c r="F72" s="11">
        <v>7900.69</v>
      </c>
      <c r="G72" s="11">
        <v>6679.14</v>
      </c>
    </row>
    <row r="73" spans="1:7">
      <c r="A73" s="10">
        <v>45758</v>
      </c>
      <c r="B73" s="11">
        <v>4684.38</v>
      </c>
      <c r="C73" s="11">
        <v>2126.05</v>
      </c>
      <c r="D73" s="11">
        <v>47994.89</v>
      </c>
      <c r="E73" s="11">
        <v>92.13</v>
      </c>
      <c r="F73" s="11">
        <v>7869.46</v>
      </c>
      <c r="G73" s="11">
        <v>6851.09</v>
      </c>
    </row>
    <row r="74" spans="1:7">
      <c r="A74" s="10">
        <v>45761</v>
      </c>
      <c r="B74" s="11">
        <v>4641.44</v>
      </c>
      <c r="C74" s="11">
        <v>2115.93</v>
      </c>
      <c r="D74" s="11">
        <v>46313.7</v>
      </c>
      <c r="E74" s="11">
        <v>91.31999999999999</v>
      </c>
      <c r="F74" s="11">
        <v>7750.48</v>
      </c>
      <c r="G74" s="11">
        <v>6771.41</v>
      </c>
    </row>
    <row r="75" spans="1:7">
      <c r="A75" s="10">
        <v>45762</v>
      </c>
      <c r="B75" s="11">
        <v>4593.53</v>
      </c>
      <c r="C75" s="11">
        <v>2103.44</v>
      </c>
      <c r="D75" s="11">
        <v>45753.89</v>
      </c>
      <c r="E75" s="11">
        <v>91.3</v>
      </c>
      <c r="F75" s="11">
        <v>7774.76</v>
      </c>
      <c r="G75" s="11">
        <v>6695.07</v>
      </c>
    </row>
    <row r="76" spans="1:7">
      <c r="A76" s="10">
        <v>45763</v>
      </c>
      <c r="B76" s="11">
        <v>4526.91</v>
      </c>
      <c r="C76" s="11">
        <v>2097</v>
      </c>
      <c r="D76" s="11">
        <v>46188.92</v>
      </c>
      <c r="E76" s="11">
        <v>91.23</v>
      </c>
      <c r="F76" s="11">
        <v>7691.53</v>
      </c>
      <c r="G76" s="11">
        <v>6674.71</v>
      </c>
    </row>
    <row r="77" spans="1:7">
      <c r="A77" s="10">
        <v>45764</v>
      </c>
      <c r="B77" s="11">
        <v>4548.43</v>
      </c>
      <c r="C77" s="11">
        <v>2035.74</v>
      </c>
      <c r="D77" s="11">
        <v>46281.23</v>
      </c>
      <c r="E77" s="11">
        <v>91.41</v>
      </c>
      <c r="F77" s="11">
        <v>7725.95</v>
      </c>
      <c r="G77" s="11">
        <v>6651.11</v>
      </c>
    </row>
    <row r="78" spans="1:7">
      <c r="A78" s="10">
        <v>45765</v>
      </c>
      <c r="B78" s="11">
        <v>4513.61</v>
      </c>
      <c r="C78" s="11">
        <v>2008.73</v>
      </c>
      <c r="D78" s="11">
        <v>46242.69</v>
      </c>
      <c r="E78" s="11">
        <v>91.06</v>
      </c>
      <c r="F78" s="11">
        <v>7581.93</v>
      </c>
      <c r="G78" s="11">
        <v>6606.33</v>
      </c>
    </row>
    <row r="79" spans="1:7">
      <c r="A79" s="10">
        <v>45768</v>
      </c>
      <c r="B79" s="11">
        <v>4499.14</v>
      </c>
      <c r="C79" s="11">
        <v>2027.17</v>
      </c>
      <c r="D79" s="11">
        <v>45844.65</v>
      </c>
      <c r="E79" s="11">
        <v>91.3</v>
      </c>
      <c r="F79" s="11">
        <v>7557.01</v>
      </c>
      <c r="G79" s="11">
        <v>6631.78</v>
      </c>
    </row>
    <row r="80" spans="1:7">
      <c r="A80" s="10">
        <v>45769</v>
      </c>
      <c r="B80" s="11">
        <v>4477.39</v>
      </c>
      <c r="C80" s="11">
        <v>2051.68</v>
      </c>
      <c r="D80" s="11">
        <v>44298.42</v>
      </c>
      <c r="E80" s="11">
        <v>91.09999999999999</v>
      </c>
      <c r="F80" s="11">
        <v>7520.34</v>
      </c>
      <c r="G80" s="11">
        <v>6563.67</v>
      </c>
    </row>
    <row r="81" spans="1:7">
      <c r="A81" s="10">
        <v>45770</v>
      </c>
      <c r="B81" s="11">
        <v>4365.85</v>
      </c>
      <c r="C81" s="11">
        <v>2012.71</v>
      </c>
      <c r="D81" s="11">
        <v>45362.78</v>
      </c>
      <c r="E81" s="11">
        <v>90.16</v>
      </c>
      <c r="F81" s="11">
        <v>7453.73</v>
      </c>
      <c r="G81" s="11">
        <v>6437.89</v>
      </c>
    </row>
    <row r="82" spans="1:7">
      <c r="A82" s="10">
        <v>45771</v>
      </c>
      <c r="B82" s="11">
        <v>4420.64</v>
      </c>
      <c r="C82" s="11">
        <v>2018.33</v>
      </c>
      <c r="D82" s="11">
        <v>43979.11</v>
      </c>
      <c r="E82" s="11">
        <v>90.98999999999999</v>
      </c>
      <c r="F82" s="11">
        <v>7414.44</v>
      </c>
      <c r="G82" s="11">
        <v>6457.26</v>
      </c>
    </row>
    <row r="83" spans="1:7">
      <c r="A83" s="10">
        <v>45772</v>
      </c>
      <c r="B83" s="11">
        <v>4288.35</v>
      </c>
      <c r="C83" s="11">
        <v>1977.3</v>
      </c>
      <c r="D83" s="11">
        <v>42855.38</v>
      </c>
      <c r="E83" s="11">
        <v>91.56</v>
      </c>
      <c r="F83" s="11">
        <v>7342.37</v>
      </c>
      <c r="G83" s="11">
        <v>6413.08</v>
      </c>
    </row>
    <row r="84" spans="1:7">
      <c r="A84" s="10">
        <v>45775</v>
      </c>
      <c r="B84" s="11">
        <v>4373.62</v>
      </c>
      <c r="C84" s="11">
        <v>2020.49</v>
      </c>
      <c r="D84" s="11">
        <v>43053.12</v>
      </c>
      <c r="E84" s="11">
        <v>91.40000000000001</v>
      </c>
      <c r="F84" s="11">
        <v>7463.27</v>
      </c>
      <c r="G84" s="11">
        <v>6436.42</v>
      </c>
    </row>
    <row r="85" spans="1:7">
      <c r="A85" s="10">
        <v>45776</v>
      </c>
      <c r="B85" s="11">
        <v>4403.66</v>
      </c>
      <c r="C85" s="11">
        <v>2007.33</v>
      </c>
      <c r="D85" s="11">
        <v>42709.8</v>
      </c>
      <c r="E85" s="11">
        <v>91.91</v>
      </c>
      <c r="F85" s="11">
        <v>7556.67</v>
      </c>
      <c r="G85" s="11">
        <v>6437.1</v>
      </c>
    </row>
    <row r="86" spans="1:7">
      <c r="A86" s="10">
        <v>45777</v>
      </c>
      <c r="B86" s="11">
        <v>4452.61</v>
      </c>
      <c r="C86" s="11">
        <v>2082.08</v>
      </c>
      <c r="D86" s="11">
        <v>43098.41</v>
      </c>
      <c r="E86" s="11">
        <v>92.05</v>
      </c>
      <c r="F86" s="11">
        <v>7678.72</v>
      </c>
      <c r="G86" s="11">
        <v>6455.43</v>
      </c>
    </row>
    <row r="87" spans="1:7">
      <c r="A87" s="10">
        <v>45778</v>
      </c>
      <c r="B87" s="11">
        <v>4410.42</v>
      </c>
      <c r="C87" s="11">
        <v>2110.33</v>
      </c>
      <c r="D87" s="11">
        <v>41891.42</v>
      </c>
      <c r="E87" s="11">
        <v>91.52</v>
      </c>
      <c r="F87" s="11">
        <v>7709.49</v>
      </c>
      <c r="G87" s="11">
        <v>6411.8</v>
      </c>
    </row>
    <row r="88" spans="1:7">
      <c r="A88" s="10">
        <v>45779</v>
      </c>
      <c r="B88" s="11">
        <v>4411.05</v>
      </c>
      <c r="C88" s="11">
        <v>2083.9</v>
      </c>
      <c r="D88" s="11">
        <v>42486.75</v>
      </c>
      <c r="E88" s="11">
        <v>90.05</v>
      </c>
      <c r="F88" s="11">
        <v>7606.93</v>
      </c>
      <c r="G88" s="11">
        <v>6346.23</v>
      </c>
    </row>
    <row r="89" spans="1:7">
      <c r="A89" s="10">
        <v>45782</v>
      </c>
      <c r="B89" s="11">
        <v>4362.73</v>
      </c>
      <c r="C89" s="11">
        <v>2064.84</v>
      </c>
      <c r="D89" s="11">
        <v>40776.4</v>
      </c>
      <c r="E89" s="11">
        <v>90.25</v>
      </c>
      <c r="F89" s="11">
        <v>7528.11</v>
      </c>
      <c r="G89" s="11">
        <v>6277.94</v>
      </c>
    </row>
    <row r="90" spans="1:7">
      <c r="A90" s="10">
        <v>45783</v>
      </c>
      <c r="B90" s="11">
        <v>4337.33</v>
      </c>
      <c r="C90" s="11">
        <v>2047.13</v>
      </c>
      <c r="D90" s="11">
        <v>42079.36</v>
      </c>
      <c r="E90" s="11">
        <v>89.98999999999999</v>
      </c>
      <c r="F90" s="11">
        <v>7519.17</v>
      </c>
      <c r="G90" s="11">
        <v>6299.27</v>
      </c>
    </row>
    <row r="91" spans="1:7">
      <c r="A91" s="10">
        <v>45784</v>
      </c>
      <c r="B91" s="11">
        <v>4268.24</v>
      </c>
      <c r="C91" s="11">
        <v>1976.48</v>
      </c>
      <c r="D91" s="11">
        <v>39948.15</v>
      </c>
      <c r="E91" s="11">
        <v>88.09999999999999</v>
      </c>
      <c r="F91" s="11">
        <v>7515.15</v>
      </c>
      <c r="G91" s="11">
        <v>6167.08</v>
      </c>
    </row>
    <row r="92" spans="1:7">
      <c r="A92" s="10">
        <v>45785</v>
      </c>
      <c r="B92" s="11">
        <v>4229.65</v>
      </c>
      <c r="C92" s="11">
        <v>1974.71</v>
      </c>
      <c r="D92" s="11">
        <v>40577.42</v>
      </c>
      <c r="E92" s="11">
        <v>88.53</v>
      </c>
      <c r="F92" s="11">
        <v>7621.5</v>
      </c>
      <c r="G92" s="11">
        <v>6178.25</v>
      </c>
    </row>
    <row r="93" spans="1:7">
      <c r="A93" s="10">
        <v>45786</v>
      </c>
      <c r="B93" s="11">
        <v>4240.04</v>
      </c>
      <c r="C93" s="11">
        <v>2033.9</v>
      </c>
      <c r="D93" s="11">
        <v>41345.07</v>
      </c>
      <c r="E93" s="11">
        <v>87.87</v>
      </c>
      <c r="F93" s="11">
        <v>7588.65</v>
      </c>
      <c r="G93" s="11">
        <v>6176.42</v>
      </c>
    </row>
    <row r="94" spans="1:7">
      <c r="A94" s="10">
        <v>45789</v>
      </c>
      <c r="B94" s="11">
        <v>4259.92</v>
      </c>
      <c r="C94" s="11">
        <v>2031.6</v>
      </c>
      <c r="D94" s="11">
        <v>41115.75</v>
      </c>
      <c r="E94" s="11">
        <v>88.69</v>
      </c>
      <c r="F94" s="11">
        <v>7812.29</v>
      </c>
      <c r="G94" s="11">
        <v>6246.41</v>
      </c>
    </row>
    <row r="95" spans="1:7">
      <c r="A95" s="10">
        <v>45790</v>
      </c>
      <c r="B95" s="11">
        <v>4193.61</v>
      </c>
      <c r="C95" s="11">
        <v>1994.74</v>
      </c>
      <c r="D95" s="11">
        <v>40373.25</v>
      </c>
      <c r="E95" s="11">
        <v>88.51000000000001</v>
      </c>
      <c r="F95" s="11">
        <v>7761.94</v>
      </c>
      <c r="G95" s="11">
        <v>6138.18</v>
      </c>
    </row>
    <row r="96" spans="1:7">
      <c r="A96" s="10">
        <v>45791</v>
      </c>
      <c r="B96" s="11">
        <v>4186.62</v>
      </c>
      <c r="C96" s="11">
        <v>2071.8</v>
      </c>
      <c r="D96" s="11">
        <v>40321.81</v>
      </c>
      <c r="E96" s="11">
        <v>88.2</v>
      </c>
      <c r="F96" s="11">
        <v>7723.98</v>
      </c>
      <c r="G96" s="11">
        <v>6132.92</v>
      </c>
    </row>
    <row r="97" spans="1:7">
      <c r="A97" s="10">
        <v>45792</v>
      </c>
      <c r="B97" s="11">
        <v>4195.92</v>
      </c>
      <c r="C97" s="11">
        <v>2149.57</v>
      </c>
      <c r="D97" s="11">
        <v>40205</v>
      </c>
      <c r="E97" s="11">
        <v>88.33</v>
      </c>
      <c r="F97" s="11">
        <v>7685.04</v>
      </c>
      <c r="G97" s="11">
        <v>6161.88</v>
      </c>
    </row>
    <row r="98" spans="1:7">
      <c r="A98" s="10">
        <v>45793</v>
      </c>
      <c r="B98" s="11">
        <v>4114.89</v>
      </c>
      <c r="C98" s="11">
        <v>2123.5</v>
      </c>
      <c r="D98" s="11">
        <v>40548.78</v>
      </c>
      <c r="E98" s="11">
        <v>87.09999999999999</v>
      </c>
      <c r="F98" s="11">
        <v>7545.73</v>
      </c>
      <c r="G98" s="11">
        <v>6094.46</v>
      </c>
    </row>
    <row r="99" spans="1:7">
      <c r="A99" s="10">
        <v>45796</v>
      </c>
      <c r="B99" s="11">
        <v>4207.35</v>
      </c>
      <c r="C99" s="11">
        <v>2184.49</v>
      </c>
      <c r="D99" s="11">
        <v>40764.73</v>
      </c>
      <c r="E99" s="11">
        <v>86.97</v>
      </c>
      <c r="F99" s="11">
        <v>7638.23</v>
      </c>
      <c r="G99" s="11">
        <v>6188.12</v>
      </c>
    </row>
    <row r="100" spans="1:7">
      <c r="A100" s="10">
        <v>45797</v>
      </c>
      <c r="B100" s="11">
        <v>4105.43</v>
      </c>
      <c r="C100" s="11">
        <v>2178.04</v>
      </c>
      <c r="D100" s="11">
        <v>39280.32</v>
      </c>
      <c r="E100" s="11">
        <v>85.98999999999999</v>
      </c>
      <c r="F100" s="11">
        <v>7568.7</v>
      </c>
      <c r="G100" s="11">
        <v>6129.56</v>
      </c>
    </row>
    <row r="101" spans="1:7">
      <c r="A101" s="10">
        <v>45798</v>
      </c>
      <c r="B101" s="11">
        <v>4070.65</v>
      </c>
      <c r="C101" s="11">
        <v>2184.4</v>
      </c>
      <c r="D101" s="11">
        <v>38552.88</v>
      </c>
      <c r="E101" s="11">
        <v>86.33</v>
      </c>
      <c r="F101" s="11">
        <v>7538.53</v>
      </c>
      <c r="G101" s="11">
        <v>6079.2</v>
      </c>
    </row>
    <row r="102" spans="1:7">
      <c r="A102" s="10">
        <v>45799</v>
      </c>
      <c r="B102" s="11">
        <v>4172.31</v>
      </c>
      <c r="C102" s="11">
        <v>2258.58</v>
      </c>
      <c r="D102" s="11">
        <v>39055.3</v>
      </c>
      <c r="E102" s="11">
        <v>87.28</v>
      </c>
      <c r="F102" s="11">
        <v>7536.95</v>
      </c>
      <c r="G102" s="11">
        <v>6199.3</v>
      </c>
    </row>
    <row r="103" spans="1:7">
      <c r="A103" s="10">
        <v>45800</v>
      </c>
      <c r="B103" s="11">
        <v>4251.32</v>
      </c>
      <c r="C103" s="11">
        <v>2339.17</v>
      </c>
      <c r="D103" s="11">
        <v>39923.61</v>
      </c>
      <c r="E103" s="11">
        <v>86.20999999999999</v>
      </c>
      <c r="F103" s="11">
        <v>7581.24</v>
      </c>
      <c r="G103" s="11">
        <v>6275.17</v>
      </c>
    </row>
    <row r="104" spans="1:7">
      <c r="A104" s="10">
        <v>45803</v>
      </c>
      <c r="B104" s="11">
        <v>4316.99</v>
      </c>
      <c r="C104" s="11">
        <v>2388.6</v>
      </c>
      <c r="D104" s="11">
        <v>40500.59</v>
      </c>
      <c r="E104" s="11">
        <v>86.94</v>
      </c>
      <c r="F104" s="11">
        <v>7667.08</v>
      </c>
      <c r="G104" s="11">
        <v>6330.5</v>
      </c>
    </row>
    <row r="105" spans="1:7">
      <c r="A105" s="10">
        <v>45804</v>
      </c>
      <c r="B105" s="11">
        <v>4364.77</v>
      </c>
      <c r="C105" s="11">
        <v>2409.81</v>
      </c>
      <c r="D105" s="11">
        <v>40917.65</v>
      </c>
      <c r="E105" s="11">
        <v>87.8</v>
      </c>
      <c r="F105" s="11">
        <v>7677.32</v>
      </c>
      <c r="G105" s="11">
        <v>6348.85</v>
      </c>
    </row>
    <row r="106" spans="1:7">
      <c r="A106" s="10">
        <v>45805</v>
      </c>
      <c r="B106" s="11">
        <v>4341.37</v>
      </c>
      <c r="C106" s="11">
        <v>2376.21</v>
      </c>
      <c r="D106" s="11">
        <v>40163.47</v>
      </c>
      <c r="E106" s="11">
        <v>88.5</v>
      </c>
      <c r="F106" s="11">
        <v>7446.56</v>
      </c>
      <c r="G106" s="11">
        <v>6280.57</v>
      </c>
    </row>
    <row r="107" spans="1:7">
      <c r="A107" s="10">
        <v>45806</v>
      </c>
      <c r="B107" s="11">
        <v>4222.39</v>
      </c>
      <c r="C107" s="11">
        <v>2322.53</v>
      </c>
      <c r="D107" s="11">
        <v>39062.17</v>
      </c>
      <c r="E107" s="11">
        <v>87.7</v>
      </c>
      <c r="F107" s="11">
        <v>7288.14</v>
      </c>
      <c r="G107" s="11">
        <v>6135.13</v>
      </c>
    </row>
    <row r="108" spans="1:7">
      <c r="A108" s="10">
        <v>45807</v>
      </c>
      <c r="B108" s="11">
        <v>4293.4</v>
      </c>
      <c r="C108" s="11">
        <v>2292.11</v>
      </c>
      <c r="D108" s="11">
        <v>37944.73</v>
      </c>
      <c r="E108" s="11">
        <v>87.53</v>
      </c>
      <c r="F108" s="11">
        <v>7309.44</v>
      </c>
      <c r="G108" s="11">
        <v>6181.63</v>
      </c>
    </row>
    <row r="109" spans="1:7">
      <c r="A109" s="10">
        <v>45810</v>
      </c>
      <c r="B109" s="11">
        <v>4372.52</v>
      </c>
      <c r="C109" s="11">
        <v>2438.3</v>
      </c>
      <c r="D109" s="11">
        <v>38426.07</v>
      </c>
      <c r="E109" s="11">
        <v>88.03</v>
      </c>
      <c r="F109" s="11">
        <v>7276.66</v>
      </c>
      <c r="G109" s="11">
        <v>6294.62</v>
      </c>
    </row>
    <row r="110" spans="1:7">
      <c r="A110" s="10">
        <v>45811</v>
      </c>
      <c r="B110" s="11">
        <v>4265.83</v>
      </c>
      <c r="C110" s="11">
        <v>2418.68</v>
      </c>
      <c r="D110" s="11">
        <v>39838.02</v>
      </c>
      <c r="E110" s="11">
        <v>87.45</v>
      </c>
      <c r="F110" s="11">
        <v>7360.33</v>
      </c>
      <c r="G110" s="11">
        <v>6273.66</v>
      </c>
    </row>
    <row r="111" spans="1:7">
      <c r="A111" s="10">
        <v>45812</v>
      </c>
      <c r="B111" s="11">
        <v>4240.84</v>
      </c>
      <c r="C111" s="11">
        <v>2419.44</v>
      </c>
      <c r="D111" s="11">
        <v>39618.8</v>
      </c>
      <c r="E111" s="11">
        <v>88.15000000000001</v>
      </c>
      <c r="F111" s="11">
        <v>7400.02</v>
      </c>
      <c r="G111" s="11">
        <v>6254.63</v>
      </c>
    </row>
    <row r="112" spans="1:7">
      <c r="A112" s="10">
        <v>45813</v>
      </c>
      <c r="B112" s="11">
        <v>4243.71</v>
      </c>
      <c r="C112" s="11">
        <v>2425.66</v>
      </c>
      <c r="D112" s="11">
        <v>39493.81</v>
      </c>
      <c r="E112" s="11">
        <v>88.06</v>
      </c>
      <c r="F112" s="11">
        <v>7428.62</v>
      </c>
      <c r="G112" s="11">
        <v>6259.96</v>
      </c>
    </row>
    <row r="113" spans="1:7">
      <c r="A113" s="10">
        <v>45814</v>
      </c>
      <c r="B113" s="11">
        <v>4233.58</v>
      </c>
      <c r="C113" s="11">
        <v>2408.57</v>
      </c>
      <c r="D113" s="11">
        <v>38505.4</v>
      </c>
      <c r="E113" s="11">
        <v>87.20999999999999</v>
      </c>
      <c r="F113" s="11">
        <v>7396.63</v>
      </c>
      <c r="G113" s="11">
        <v>6255.25</v>
      </c>
    </row>
    <row r="114" spans="1:7">
      <c r="A114" s="10">
        <v>45817</v>
      </c>
      <c r="B114" s="11">
        <v>4241.48</v>
      </c>
      <c r="C114" s="11">
        <v>2433.24</v>
      </c>
      <c r="D114" s="11">
        <v>39825.91</v>
      </c>
      <c r="E114" s="11">
        <v>88.03</v>
      </c>
      <c r="F114" s="11">
        <v>7378.53</v>
      </c>
      <c r="G114" s="11">
        <v>6327.19</v>
      </c>
    </row>
    <row r="115" spans="1:7">
      <c r="A115" s="10">
        <v>45818</v>
      </c>
      <c r="B115" s="11">
        <v>4291.06</v>
      </c>
      <c r="C115" s="11">
        <v>2474.98</v>
      </c>
      <c r="D115" s="11">
        <v>40736.21</v>
      </c>
      <c r="E115" s="11">
        <v>88.52</v>
      </c>
      <c r="F115" s="11">
        <v>7471.89</v>
      </c>
      <c r="G115" s="11">
        <v>6411.62</v>
      </c>
    </row>
    <row r="116" spans="1:7">
      <c r="A116" s="10">
        <v>45819</v>
      </c>
      <c r="B116" s="11">
        <v>4322.3</v>
      </c>
      <c r="C116" s="11">
        <v>2483.69</v>
      </c>
      <c r="D116" s="11">
        <v>41377.83</v>
      </c>
      <c r="E116" s="11">
        <v>89.92</v>
      </c>
      <c r="F116" s="11">
        <v>7455.32</v>
      </c>
      <c r="G116" s="11">
        <v>6471.86</v>
      </c>
    </row>
    <row r="117" spans="1:7">
      <c r="A117" s="10">
        <v>45820</v>
      </c>
      <c r="B117" s="11">
        <v>4282.98</v>
      </c>
      <c r="C117" s="11">
        <v>2446.04</v>
      </c>
      <c r="D117" s="11">
        <v>42047.4</v>
      </c>
      <c r="E117" s="11">
        <v>89.63</v>
      </c>
      <c r="F117" s="11">
        <v>7435.48</v>
      </c>
      <c r="G117" s="11">
        <v>6417.44</v>
      </c>
    </row>
    <row r="118" spans="1:7">
      <c r="A118" s="10">
        <v>45821</v>
      </c>
      <c r="B118" s="11">
        <v>4273.63</v>
      </c>
      <c r="C118" s="11">
        <v>2514.5</v>
      </c>
      <c r="D118" s="11">
        <v>43771.24</v>
      </c>
      <c r="E118" s="11">
        <v>91.19</v>
      </c>
      <c r="F118" s="11">
        <v>7550.84</v>
      </c>
      <c r="G118" s="11">
        <v>6455.23</v>
      </c>
    </row>
    <row r="119" spans="1:7">
      <c r="A119" s="10">
        <v>45824</v>
      </c>
      <c r="B119" s="11">
        <v>4225.45</v>
      </c>
      <c r="C119" s="11">
        <v>2534.52</v>
      </c>
      <c r="D119" s="11">
        <v>42919.04</v>
      </c>
      <c r="E119" s="11">
        <v>90.84999999999999</v>
      </c>
      <c r="F119" s="11">
        <v>7444.85</v>
      </c>
      <c r="G119" s="11">
        <v>6459.08</v>
      </c>
    </row>
    <row r="120" spans="1:7">
      <c r="A120" s="10">
        <v>45825</v>
      </c>
      <c r="B120" s="11">
        <v>4207.69</v>
      </c>
      <c r="C120" s="11">
        <v>2575.01</v>
      </c>
      <c r="D120" s="11">
        <v>42981.16</v>
      </c>
      <c r="E120" s="11">
        <v>90.90000000000001</v>
      </c>
      <c r="F120" s="11">
        <v>7305.06</v>
      </c>
      <c r="G120" s="11">
        <v>6461.77</v>
      </c>
    </row>
    <row r="121" spans="1:7">
      <c r="A121" s="10">
        <v>45826</v>
      </c>
      <c r="B121" s="11">
        <v>4191.8</v>
      </c>
      <c r="C121" s="11">
        <v>2470.79</v>
      </c>
      <c r="D121" s="11">
        <v>41817.15</v>
      </c>
      <c r="E121" s="11">
        <v>89.08</v>
      </c>
      <c r="F121" s="11">
        <v>7164.57</v>
      </c>
      <c r="G121" s="11">
        <v>6339.84</v>
      </c>
    </row>
    <row r="122" spans="1:7">
      <c r="A122" s="10">
        <v>45827</v>
      </c>
      <c r="B122" s="11">
        <v>4108.01</v>
      </c>
      <c r="C122" s="11">
        <v>2484.95</v>
      </c>
      <c r="D122" s="11">
        <v>40175.33</v>
      </c>
      <c r="E122" s="11">
        <v>87.98</v>
      </c>
      <c r="F122" s="11">
        <v>7113.07</v>
      </c>
      <c r="G122" s="11">
        <v>6274.57</v>
      </c>
    </row>
    <row r="123" spans="1:7">
      <c r="A123" s="10">
        <v>45828</v>
      </c>
      <c r="B123" s="11">
        <v>4208.66</v>
      </c>
      <c r="C123" s="11">
        <v>2533.76</v>
      </c>
      <c r="D123" s="11">
        <v>41735.24</v>
      </c>
      <c r="E123" s="11">
        <v>88.29000000000001</v>
      </c>
      <c r="F123" s="11">
        <v>7096.01</v>
      </c>
      <c r="G123" s="11">
        <v>6368.9</v>
      </c>
    </row>
    <row r="124" spans="1:7">
      <c r="A124" s="10">
        <v>45831</v>
      </c>
      <c r="B124" s="11">
        <v>4217.88</v>
      </c>
      <c r="C124" s="11">
        <v>2548.8</v>
      </c>
      <c r="D124" s="11">
        <v>40075.52</v>
      </c>
      <c r="E124" s="11">
        <v>88.40000000000001</v>
      </c>
      <c r="F124" s="11">
        <v>7077.88</v>
      </c>
      <c r="G124" s="11">
        <v>6425.05</v>
      </c>
    </row>
    <row r="125" spans="1:7">
      <c r="A125" s="10">
        <v>45832</v>
      </c>
      <c r="B125" s="11">
        <v>4272.16</v>
      </c>
      <c r="C125" s="11">
        <v>2538.6</v>
      </c>
      <c r="D125" s="11">
        <v>39066.44</v>
      </c>
      <c r="E125" s="11">
        <v>88.47</v>
      </c>
      <c r="F125" s="11">
        <v>7159.38</v>
      </c>
      <c r="G125" s="11">
        <v>6428.78</v>
      </c>
    </row>
    <row r="126" spans="1:7">
      <c r="A126" s="10">
        <v>45833</v>
      </c>
      <c r="B126" s="11">
        <v>4382.33</v>
      </c>
      <c r="C126" s="11">
        <v>2564.18</v>
      </c>
      <c r="D126" s="11">
        <v>38688.64</v>
      </c>
      <c r="E126" s="11">
        <v>89.18000000000001</v>
      </c>
      <c r="F126" s="11">
        <v>7259.46</v>
      </c>
      <c r="G126" s="11">
        <v>6516.42</v>
      </c>
    </row>
    <row r="127" spans="1:7">
      <c r="A127" s="10">
        <v>45834</v>
      </c>
      <c r="B127" s="11">
        <v>4398.78</v>
      </c>
      <c r="C127" s="11">
        <v>2540.43</v>
      </c>
      <c r="D127" s="11">
        <v>38291.99</v>
      </c>
      <c r="E127" s="11">
        <v>88.77</v>
      </c>
      <c r="F127" s="11">
        <v>7292</v>
      </c>
      <c r="G127" s="11">
        <v>6520.84</v>
      </c>
    </row>
    <row r="128" spans="1:7">
      <c r="A128" s="10">
        <v>45835</v>
      </c>
      <c r="B128" s="11">
        <v>4259.61</v>
      </c>
      <c r="C128" s="11">
        <v>2473.36</v>
      </c>
      <c r="D128" s="11">
        <v>37629.61</v>
      </c>
      <c r="E128" s="11">
        <v>88.34999999999999</v>
      </c>
      <c r="F128" s="11">
        <v>7259.67</v>
      </c>
      <c r="G128" s="11">
        <v>6368.41</v>
      </c>
    </row>
    <row r="129" spans="1:7">
      <c r="A129" s="10">
        <v>45838</v>
      </c>
      <c r="B129" s="11">
        <v>4233.33</v>
      </c>
      <c r="C129" s="11">
        <v>2510.23</v>
      </c>
      <c r="D129" s="11">
        <v>38099.32</v>
      </c>
      <c r="E129" s="11">
        <v>87.77</v>
      </c>
      <c r="F129" s="11">
        <v>7233.82</v>
      </c>
      <c r="G129" s="11">
        <v>6328.84</v>
      </c>
    </row>
    <row r="130" spans="1:7">
      <c r="A130" s="10">
        <v>45839</v>
      </c>
      <c r="B130" s="11">
        <v>4159.85</v>
      </c>
      <c r="C130" s="11">
        <v>2492.23</v>
      </c>
      <c r="D130" s="11">
        <v>37621.25</v>
      </c>
      <c r="E130" s="11">
        <v>86.05</v>
      </c>
      <c r="F130" s="11">
        <v>7197.47</v>
      </c>
      <c r="G130" s="11">
        <v>6256.92</v>
      </c>
    </row>
    <row r="131" spans="1:7">
      <c r="A131" s="10">
        <v>45840</v>
      </c>
      <c r="B131" s="11">
        <v>4156.93</v>
      </c>
      <c r="C131" s="11">
        <v>2505.27</v>
      </c>
      <c r="D131" s="11">
        <v>37125.16</v>
      </c>
      <c r="E131" s="11">
        <v>86.15000000000001</v>
      </c>
      <c r="F131" s="11">
        <v>7282.99</v>
      </c>
      <c r="G131" s="11">
        <v>6288.47</v>
      </c>
    </row>
    <row r="132" spans="1:7">
      <c r="A132" s="10">
        <v>45841</v>
      </c>
      <c r="B132" s="11">
        <v>4213.64</v>
      </c>
      <c r="C132" s="11">
        <v>2572.98</v>
      </c>
      <c r="D132" s="11">
        <v>38018.74</v>
      </c>
      <c r="E132" s="11">
        <v>86.62</v>
      </c>
      <c r="F132" s="11">
        <v>7284.71</v>
      </c>
      <c r="G132" s="11">
        <v>6333.79</v>
      </c>
    </row>
    <row r="133" spans="1:7">
      <c r="A133" s="10">
        <v>45842</v>
      </c>
      <c r="B133" s="11">
        <v>4096.06</v>
      </c>
      <c r="C133" s="11">
        <v>2528.75</v>
      </c>
      <c r="D133" s="11">
        <v>36492.47</v>
      </c>
      <c r="E133" s="11">
        <v>86.59999999999999</v>
      </c>
      <c r="F133" s="11">
        <v>7128.76</v>
      </c>
      <c r="G133" s="11">
        <v>6246.96</v>
      </c>
    </row>
    <row r="134" spans="1:7">
      <c r="A134" s="10">
        <v>45845</v>
      </c>
      <c r="B134" s="11">
        <v>4071.4</v>
      </c>
      <c r="C134" s="11">
        <v>2517.74</v>
      </c>
      <c r="D134" s="11">
        <v>35341.65</v>
      </c>
      <c r="E134" s="11">
        <v>86.81999999999999</v>
      </c>
      <c r="F134" s="11">
        <v>7042.16</v>
      </c>
      <c r="G134" s="11">
        <v>6198.77</v>
      </c>
    </row>
    <row r="135" spans="1:7">
      <c r="A135" s="10">
        <v>45846</v>
      </c>
      <c r="B135" s="11">
        <v>4089.03</v>
      </c>
      <c r="C135" s="11">
        <v>2528.78</v>
      </c>
      <c r="D135" s="11">
        <v>35500.57</v>
      </c>
      <c r="E135" s="11">
        <v>85.62</v>
      </c>
      <c r="F135" s="11">
        <v>7048.51</v>
      </c>
      <c r="G135" s="11">
        <v>6266.42</v>
      </c>
    </row>
    <row r="136" spans="1:7">
      <c r="A136" s="10">
        <v>45847</v>
      </c>
      <c r="B136" s="11">
        <v>4064.18</v>
      </c>
      <c r="C136" s="11">
        <v>2485.16</v>
      </c>
      <c r="D136" s="11">
        <v>35813.02</v>
      </c>
      <c r="E136" s="11">
        <v>85.23</v>
      </c>
      <c r="F136" s="11">
        <v>7011.68</v>
      </c>
      <c r="G136" s="11">
        <v>6247.49</v>
      </c>
    </row>
    <row r="137" spans="1:7">
      <c r="A137" s="10">
        <v>45848</v>
      </c>
      <c r="B137" s="11">
        <v>4061.23</v>
      </c>
      <c r="C137" s="11">
        <v>2464.82</v>
      </c>
      <c r="D137" s="11">
        <v>35459.65</v>
      </c>
      <c r="E137" s="11">
        <v>85.56</v>
      </c>
      <c r="F137" s="11">
        <v>7072.59</v>
      </c>
      <c r="G137" s="11">
        <v>6244.1</v>
      </c>
    </row>
    <row r="138" spans="1:7">
      <c r="A138" s="10">
        <v>45849</v>
      </c>
      <c r="B138" s="11">
        <v>4006.73</v>
      </c>
      <c r="C138" s="11">
        <v>2429.78</v>
      </c>
      <c r="D138" s="11">
        <v>34634.14</v>
      </c>
      <c r="E138" s="11">
        <v>85.89</v>
      </c>
      <c r="F138" s="11">
        <v>7103.08</v>
      </c>
      <c r="G138" s="11">
        <v>6215.21</v>
      </c>
    </row>
    <row r="139" spans="1:7">
      <c r="A139" s="10">
        <v>45852</v>
      </c>
      <c r="B139" s="11">
        <v>4028.56</v>
      </c>
      <c r="C139" s="11">
        <v>2484.88</v>
      </c>
      <c r="D139" s="11">
        <v>34972.73</v>
      </c>
      <c r="E139" s="11">
        <v>85.72</v>
      </c>
      <c r="F139" s="11">
        <v>7166.15</v>
      </c>
      <c r="G139" s="11">
        <v>6231.01</v>
      </c>
    </row>
    <row r="140" spans="1:7">
      <c r="A140" s="10">
        <v>45853</v>
      </c>
      <c r="B140" s="11">
        <v>3993.48</v>
      </c>
      <c r="C140" s="11">
        <v>2580.79</v>
      </c>
      <c r="D140" s="11">
        <v>35031.29</v>
      </c>
      <c r="E140" s="11">
        <v>85.77</v>
      </c>
      <c r="F140" s="11">
        <v>7316.83</v>
      </c>
      <c r="G140" s="11">
        <v>6311.18</v>
      </c>
    </row>
    <row r="141" spans="1:7">
      <c r="A141" s="10">
        <v>45854</v>
      </c>
      <c r="B141" s="11">
        <v>3997.33</v>
      </c>
      <c r="C141" s="11">
        <v>2631.52</v>
      </c>
      <c r="D141" s="11">
        <v>37014.78</v>
      </c>
      <c r="E141" s="11">
        <v>87.55</v>
      </c>
      <c r="F141" s="11">
        <v>7397.14</v>
      </c>
      <c r="G141" s="11">
        <v>6432.03</v>
      </c>
    </row>
    <row r="142" spans="1:7">
      <c r="A142" s="10">
        <v>45855</v>
      </c>
      <c r="B142" s="11">
        <v>3994.23</v>
      </c>
      <c r="C142" s="11">
        <v>2582.88</v>
      </c>
      <c r="D142" s="11">
        <v>36365.31</v>
      </c>
      <c r="E142" s="11">
        <v>87.63</v>
      </c>
      <c r="F142" s="11">
        <v>7301.02</v>
      </c>
      <c r="G142" s="11">
        <v>6402.25</v>
      </c>
    </row>
    <row r="143" spans="1:7">
      <c r="A143" s="10">
        <v>45856</v>
      </c>
      <c r="B143" s="11">
        <v>3997.17</v>
      </c>
      <c r="C143" s="11">
        <v>2509.13</v>
      </c>
      <c r="D143" s="11">
        <v>35064.98</v>
      </c>
      <c r="E143" s="11">
        <v>88.20999999999999</v>
      </c>
      <c r="F143" s="11">
        <v>7175.92</v>
      </c>
      <c r="G143" s="11">
        <v>6379.27</v>
      </c>
    </row>
    <row r="144" spans="1:7">
      <c r="A144" s="10">
        <v>45859</v>
      </c>
      <c r="B144" s="11">
        <v>3965.62</v>
      </c>
      <c r="C144" s="11">
        <v>2495.91</v>
      </c>
      <c r="D144" s="11">
        <v>35998.84</v>
      </c>
      <c r="E144" s="11">
        <v>87.16</v>
      </c>
      <c r="F144" s="11">
        <v>7227.78</v>
      </c>
      <c r="G144" s="11">
        <v>6381.07</v>
      </c>
    </row>
    <row r="145" spans="1:7">
      <c r="A145" s="10">
        <v>45860</v>
      </c>
      <c r="B145" s="11">
        <v>3926.68</v>
      </c>
      <c r="C145" s="11">
        <v>2484.74</v>
      </c>
      <c r="D145" s="11">
        <v>36341.78</v>
      </c>
      <c r="E145" s="11">
        <v>85.36</v>
      </c>
      <c r="F145" s="11">
        <v>7192.02</v>
      </c>
      <c r="G145" s="11">
        <v>6314.2</v>
      </c>
    </row>
    <row r="146" spans="1:7">
      <c r="A146" s="10">
        <v>45861</v>
      </c>
      <c r="B146" s="11">
        <v>3827.34</v>
      </c>
      <c r="C146" s="11">
        <v>2432.2</v>
      </c>
      <c r="D146" s="11">
        <v>35642.65</v>
      </c>
      <c r="E146" s="11">
        <v>84.45</v>
      </c>
      <c r="F146" s="11">
        <v>7128.71</v>
      </c>
      <c r="G146" s="11">
        <v>6194.42</v>
      </c>
    </row>
    <row r="147" spans="1:7">
      <c r="A147" s="10">
        <v>45862</v>
      </c>
      <c r="B147" s="11">
        <v>3860.91</v>
      </c>
      <c r="C147" s="11">
        <v>2482</v>
      </c>
      <c r="D147" s="11">
        <v>36567.05</v>
      </c>
      <c r="E147" s="11">
        <v>83.29000000000001</v>
      </c>
      <c r="F147" s="11">
        <v>6982.24</v>
      </c>
      <c r="G147" s="11">
        <v>6224.15</v>
      </c>
    </row>
    <row r="148" spans="1:7">
      <c r="A148" s="10">
        <v>45863</v>
      </c>
      <c r="B148" s="11">
        <v>3753.52</v>
      </c>
      <c r="C148" s="11">
        <v>2388.4</v>
      </c>
      <c r="D148" s="11">
        <v>34819.89</v>
      </c>
      <c r="E148" s="11">
        <v>83.56</v>
      </c>
      <c r="F148" s="11">
        <v>6896.14</v>
      </c>
      <c r="G148" s="11">
        <v>6098.23</v>
      </c>
    </row>
    <row r="149" spans="1:7">
      <c r="A149" s="10">
        <v>45866</v>
      </c>
      <c r="B149" s="11">
        <v>3748.87</v>
      </c>
      <c r="C149" s="11">
        <v>2367.23</v>
      </c>
      <c r="D149" s="11">
        <v>35004.08</v>
      </c>
      <c r="E149" s="11">
        <v>83.20999999999999</v>
      </c>
      <c r="F149" s="11">
        <v>6856.72</v>
      </c>
      <c r="G149" s="11">
        <v>6080.09</v>
      </c>
    </row>
    <row r="150" spans="1:7">
      <c r="A150" s="10">
        <v>45867</v>
      </c>
      <c r="B150" s="11">
        <v>3835.67</v>
      </c>
      <c r="C150" s="11">
        <v>2436.35</v>
      </c>
      <c r="D150" s="11">
        <v>36117.8</v>
      </c>
      <c r="E150" s="11">
        <v>83.09</v>
      </c>
      <c r="F150" s="11">
        <v>6812.92</v>
      </c>
      <c r="G150" s="11">
        <v>6138.41</v>
      </c>
    </row>
    <row r="151" spans="1:7">
      <c r="A151" s="10">
        <v>45868</v>
      </c>
      <c r="B151" s="11">
        <v>3857.88</v>
      </c>
      <c r="C151" s="11">
        <v>2473.72</v>
      </c>
      <c r="D151" s="11">
        <v>36824.25</v>
      </c>
      <c r="E151" s="11">
        <v>83.76000000000001</v>
      </c>
      <c r="F151" s="11">
        <v>6896.15</v>
      </c>
      <c r="G151" s="11">
        <v>6166.04</v>
      </c>
    </row>
    <row r="152" spans="1:7">
      <c r="A152" s="10">
        <v>45869</v>
      </c>
      <c r="B152" s="11">
        <v>3825.59</v>
      </c>
      <c r="C152" s="11">
        <v>2426.19</v>
      </c>
      <c r="D152" s="11">
        <v>37584.49</v>
      </c>
      <c r="E152" s="11">
        <v>83.23</v>
      </c>
      <c r="F152" s="11">
        <v>6692.86</v>
      </c>
      <c r="G152" s="11">
        <v>6102.2</v>
      </c>
    </row>
    <row r="153" spans="1:7">
      <c r="A153" s="10">
        <v>45870</v>
      </c>
      <c r="B153" s="11">
        <v>3867.82</v>
      </c>
      <c r="C153" s="11">
        <v>2474.87</v>
      </c>
      <c r="D153" s="11">
        <v>38255.65</v>
      </c>
      <c r="E153" s="11">
        <v>81.45999999999999</v>
      </c>
      <c r="F153" s="11">
        <v>6792.28</v>
      </c>
      <c r="G153" s="11">
        <v>6107.85</v>
      </c>
    </row>
    <row r="154" spans="1:7">
      <c r="A154" s="10">
        <v>45873</v>
      </c>
      <c r="B154" s="11">
        <v>3863.94</v>
      </c>
      <c r="C154" s="11">
        <v>2484.96</v>
      </c>
      <c r="D154" s="11">
        <v>37108.66</v>
      </c>
      <c r="E154" s="11">
        <v>81.72</v>
      </c>
      <c r="F154" s="11">
        <v>6870.18</v>
      </c>
      <c r="G154" s="11">
        <v>6119.54</v>
      </c>
    </row>
    <row r="155" spans="1:7">
      <c r="A155" s="10">
        <v>45874</v>
      </c>
      <c r="B155" s="11">
        <v>3928.32</v>
      </c>
      <c r="C155" s="11">
        <v>2523.24</v>
      </c>
      <c r="D155" s="11">
        <v>38093.15</v>
      </c>
      <c r="E155" s="11">
        <v>82.33</v>
      </c>
      <c r="F155" s="11">
        <v>6869.87</v>
      </c>
      <c r="G155" s="11">
        <v>6217.53</v>
      </c>
    </row>
    <row r="156" spans="1:7">
      <c r="A156" s="10">
        <v>45875</v>
      </c>
      <c r="B156" s="11">
        <v>3951.37</v>
      </c>
      <c r="C156" s="11">
        <v>2580.08</v>
      </c>
      <c r="D156" s="11">
        <v>39527.32</v>
      </c>
      <c r="E156" s="11">
        <v>84.09</v>
      </c>
      <c r="F156" s="11">
        <v>6836.64</v>
      </c>
      <c r="G156" s="11">
        <v>6296.43</v>
      </c>
    </row>
    <row r="157" spans="1:7">
      <c r="A157" s="10">
        <v>45876</v>
      </c>
      <c r="B157" s="11">
        <v>3949.67</v>
      </c>
      <c r="C157" s="11">
        <v>2604.95</v>
      </c>
      <c r="D157" s="11">
        <v>41447.65</v>
      </c>
      <c r="E157" s="11">
        <v>84.77</v>
      </c>
      <c r="F157" s="11">
        <v>6777.31</v>
      </c>
      <c r="G157" s="11">
        <v>6351.32</v>
      </c>
    </row>
    <row r="158" spans="1:7">
      <c r="A158" s="10">
        <v>45877</v>
      </c>
      <c r="B158" s="11">
        <v>3923.54</v>
      </c>
      <c r="C158" s="11">
        <v>2663.89</v>
      </c>
      <c r="D158" s="11">
        <v>40645.79</v>
      </c>
      <c r="E158" s="11">
        <v>85.45</v>
      </c>
      <c r="F158" s="11">
        <v>6709.16</v>
      </c>
      <c r="G158" s="11">
        <v>6371.53</v>
      </c>
    </row>
    <row r="159" spans="1:7">
      <c r="A159" s="10">
        <v>45880</v>
      </c>
      <c r="B159" s="11">
        <v>3861.53</v>
      </c>
      <c r="C159" s="11">
        <v>2597.1</v>
      </c>
      <c r="D159" s="11">
        <v>41546.36</v>
      </c>
      <c r="E159" s="11">
        <v>85.37</v>
      </c>
      <c r="F159" s="11">
        <v>6617.29</v>
      </c>
      <c r="G159" s="11">
        <v>6311.35</v>
      </c>
    </row>
    <row r="160" spans="1:7">
      <c r="A160" s="10">
        <v>45881</v>
      </c>
      <c r="B160" s="11">
        <v>3913.13</v>
      </c>
      <c r="C160" s="11">
        <v>2588.36</v>
      </c>
      <c r="D160" s="11">
        <v>42714.44</v>
      </c>
      <c r="E160" s="11">
        <v>86.7</v>
      </c>
      <c r="F160" s="11">
        <v>6770.96</v>
      </c>
      <c r="G160" s="11">
        <v>6395.67</v>
      </c>
    </row>
    <row r="161" spans="1:7">
      <c r="A161" s="10">
        <v>45882</v>
      </c>
      <c r="B161" s="11">
        <v>3970.99</v>
      </c>
      <c r="C161" s="11">
        <v>2594.91</v>
      </c>
      <c r="D161" s="11">
        <v>43313.15</v>
      </c>
      <c r="E161" s="11">
        <v>87.20999999999999</v>
      </c>
      <c r="F161" s="11">
        <v>6692.35</v>
      </c>
      <c r="G161" s="11">
        <v>6469.89</v>
      </c>
    </row>
    <row r="162" spans="1:7">
      <c r="A162" s="10">
        <v>45883</v>
      </c>
      <c r="B162" s="11">
        <v>4001.89</v>
      </c>
      <c r="C162" s="11">
        <v>2688.82</v>
      </c>
      <c r="D162" s="11">
        <v>43324.28</v>
      </c>
      <c r="E162" s="11">
        <v>86.58</v>
      </c>
      <c r="F162" s="11">
        <v>6651.58</v>
      </c>
      <c r="G162" s="11">
        <v>6484.33</v>
      </c>
    </row>
    <row r="163" spans="1:7">
      <c r="A163" s="10">
        <v>45884</v>
      </c>
      <c r="B163" s="11">
        <v>4021.42</v>
      </c>
      <c r="C163" s="11">
        <v>2709.41</v>
      </c>
      <c r="D163" s="11">
        <v>42892.69</v>
      </c>
      <c r="E163" s="11">
        <v>86.78</v>
      </c>
      <c r="F163" s="11">
        <v>6597.3</v>
      </c>
      <c r="G163" s="11">
        <v>6462.32</v>
      </c>
    </row>
    <row r="164" spans="1:7">
      <c r="A164" s="10">
        <v>45887</v>
      </c>
      <c r="B164" s="11">
        <v>4095.78</v>
      </c>
      <c r="C164" s="11">
        <v>2707.82</v>
      </c>
      <c r="D164" s="11">
        <v>42969.43</v>
      </c>
      <c r="E164" s="11">
        <v>87.69</v>
      </c>
      <c r="F164" s="11">
        <v>6715.98</v>
      </c>
      <c r="G164" s="11">
        <v>6511.03</v>
      </c>
    </row>
    <row r="165" spans="1:7">
      <c r="A165" s="10">
        <v>45888</v>
      </c>
      <c r="B165" s="11">
        <v>4062.88</v>
      </c>
      <c r="C165" s="11">
        <v>2678.55</v>
      </c>
      <c r="D165" s="11">
        <v>42113.19</v>
      </c>
      <c r="E165" s="11">
        <v>86.91</v>
      </c>
      <c r="F165" s="11">
        <v>6739.69</v>
      </c>
      <c r="G165" s="11">
        <v>6499.16</v>
      </c>
    </row>
    <row r="166" spans="1:7">
      <c r="A166" s="10">
        <v>45889</v>
      </c>
      <c r="B166" s="11">
        <v>4070.44</v>
      </c>
      <c r="C166" s="11">
        <v>2707.4</v>
      </c>
      <c r="D166" s="11">
        <v>41307.57</v>
      </c>
      <c r="E166" s="11">
        <v>88.09</v>
      </c>
      <c r="F166" s="11">
        <v>6669.86</v>
      </c>
      <c r="G166" s="11">
        <v>6529.65</v>
      </c>
    </row>
    <row r="167" spans="1:7">
      <c r="A167" s="10">
        <v>45890</v>
      </c>
      <c r="B167" s="11">
        <v>4145.58</v>
      </c>
      <c r="C167" s="11">
        <v>2703.76</v>
      </c>
      <c r="D167" s="11">
        <v>41493.08</v>
      </c>
      <c r="E167" s="11">
        <v>87.98</v>
      </c>
      <c r="F167" s="11">
        <v>6816.92</v>
      </c>
      <c r="G167" s="11">
        <v>6608.89</v>
      </c>
    </row>
    <row r="168" spans="1:7">
      <c r="A168" s="10">
        <v>45891</v>
      </c>
      <c r="B168" s="11">
        <v>4104</v>
      </c>
      <c r="C168" s="11">
        <v>2715.23</v>
      </c>
      <c r="D168" s="11">
        <v>41276.09</v>
      </c>
      <c r="E168" s="11">
        <v>88.61</v>
      </c>
      <c r="F168" s="11">
        <v>6748.86</v>
      </c>
      <c r="G168" s="11">
        <v>6585.68</v>
      </c>
    </row>
    <row r="169" spans="1:7">
      <c r="A169" s="10">
        <v>45894</v>
      </c>
      <c r="B169" s="11">
        <v>4145.5</v>
      </c>
      <c r="C169" s="11">
        <v>2657.53</v>
      </c>
      <c r="D169" s="11">
        <v>40416.87</v>
      </c>
      <c r="E169" s="11">
        <v>88.20999999999999</v>
      </c>
      <c r="F169" s="11">
        <v>6935.92</v>
      </c>
      <c r="G169" s="11">
        <v>6600.55</v>
      </c>
    </row>
    <row r="170" spans="1:7">
      <c r="A170" s="10">
        <v>45895</v>
      </c>
      <c r="B170" s="11">
        <v>4129.64</v>
      </c>
      <c r="C170" s="11">
        <v>2621.12</v>
      </c>
      <c r="D170" s="11">
        <v>39831.97</v>
      </c>
      <c r="E170" s="11">
        <v>88.44</v>
      </c>
      <c r="F170" s="11">
        <v>6866.83</v>
      </c>
      <c r="G170" s="11">
        <v>6569.08</v>
      </c>
    </row>
    <row r="171" spans="1:7">
      <c r="A171" s="10">
        <v>45896</v>
      </c>
      <c r="B171" s="11">
        <v>4158.4</v>
      </c>
      <c r="C171" s="11">
        <v>2586.73</v>
      </c>
      <c r="D171" s="11">
        <v>39223.72</v>
      </c>
      <c r="E171" s="11">
        <v>87.98999999999999</v>
      </c>
      <c r="F171" s="11">
        <v>6842.86</v>
      </c>
      <c r="G171" s="11">
        <v>6505.67</v>
      </c>
    </row>
    <row r="172" spans="1:7">
      <c r="A172" s="10">
        <v>45897</v>
      </c>
      <c r="B172" s="11">
        <v>4180.81</v>
      </c>
      <c r="C172" s="11">
        <v>2637.63</v>
      </c>
      <c r="D172" s="11">
        <v>41011.05</v>
      </c>
      <c r="E172" s="11">
        <v>87.23999999999999</v>
      </c>
      <c r="F172" s="11">
        <v>6806.21</v>
      </c>
      <c r="G172" s="11">
        <v>6500.17</v>
      </c>
    </row>
    <row r="173" spans="1:7">
      <c r="A173" s="10">
        <v>45898</v>
      </c>
      <c r="B173" s="11">
        <v>4149.04</v>
      </c>
      <c r="C173" s="11">
        <v>2579.18</v>
      </c>
      <c r="D173" s="11">
        <v>39999.45</v>
      </c>
      <c r="E173" s="11">
        <v>86.48999999999999</v>
      </c>
      <c r="F173" s="11">
        <v>6735.24</v>
      </c>
      <c r="G173" s="11">
        <v>6459.68</v>
      </c>
    </row>
    <row r="174" spans="1:7">
      <c r="A174" s="10">
        <v>45901</v>
      </c>
      <c r="B174" s="11">
        <v>4228.8</v>
      </c>
      <c r="C174" s="11">
        <v>2641.82</v>
      </c>
      <c r="D174" s="11">
        <v>42772.47</v>
      </c>
      <c r="E174" s="11">
        <v>88.73</v>
      </c>
      <c r="F174" s="11">
        <v>6891.64</v>
      </c>
      <c r="G174" s="11">
        <v>6533.22</v>
      </c>
    </row>
    <row r="175" spans="1:7">
      <c r="A175" s="10">
        <v>45902</v>
      </c>
      <c r="B175" s="11">
        <v>4186.5</v>
      </c>
      <c r="C175" s="11">
        <v>2684.55</v>
      </c>
      <c r="D175" s="11">
        <v>43198.73</v>
      </c>
      <c r="E175" s="11">
        <v>88.61</v>
      </c>
      <c r="F175" s="11">
        <v>6816.22</v>
      </c>
      <c r="G175" s="11">
        <v>6525.6</v>
      </c>
    </row>
    <row r="176" spans="1:7">
      <c r="A176" s="10">
        <v>45903</v>
      </c>
      <c r="B176" s="11">
        <v>4239.03</v>
      </c>
      <c r="C176" s="11">
        <v>2754.65</v>
      </c>
      <c r="D176" s="11">
        <v>42845.04</v>
      </c>
      <c r="E176" s="11">
        <v>88.40000000000001</v>
      </c>
      <c r="F176" s="11">
        <v>6807.47</v>
      </c>
      <c r="G176" s="11">
        <v>6507.01</v>
      </c>
    </row>
    <row r="177" spans="1:7">
      <c r="A177" s="10">
        <v>45904</v>
      </c>
      <c r="B177" s="11">
        <v>4187.12</v>
      </c>
      <c r="C177" s="11">
        <v>2783.66</v>
      </c>
      <c r="D177" s="11">
        <v>42044.08</v>
      </c>
      <c r="E177" s="11">
        <v>88.55</v>
      </c>
      <c r="F177" s="11">
        <v>6719.07</v>
      </c>
      <c r="G177" s="11">
        <v>6476.76</v>
      </c>
    </row>
    <row r="178" spans="1:7">
      <c r="A178" s="10">
        <v>45905</v>
      </c>
      <c r="B178" s="11">
        <v>4240.48</v>
      </c>
      <c r="C178" s="11">
        <v>2779.44</v>
      </c>
      <c r="D178" s="11">
        <v>43004.21</v>
      </c>
      <c r="E178" s="11">
        <v>89.59</v>
      </c>
      <c r="F178" s="11">
        <v>6778.61</v>
      </c>
      <c r="G178" s="11">
        <v>6503.38</v>
      </c>
    </row>
    <row r="179" spans="1:7">
      <c r="A179" s="10">
        <v>45908</v>
      </c>
      <c r="B179" s="11">
        <v>4251.36</v>
      </c>
      <c r="C179" s="11">
        <v>2778.66</v>
      </c>
      <c r="D179" s="11">
        <v>43352.56</v>
      </c>
      <c r="E179" s="11">
        <v>88.86</v>
      </c>
      <c r="F179" s="11">
        <v>6817.8</v>
      </c>
      <c r="G179" s="11">
        <v>6522.53</v>
      </c>
    </row>
    <row r="180" spans="1:7">
      <c r="A180" s="10">
        <v>45909</v>
      </c>
      <c r="B180" s="11">
        <v>4264.84</v>
      </c>
      <c r="C180" s="11">
        <v>2733.75</v>
      </c>
      <c r="D180" s="11">
        <v>42294.93</v>
      </c>
      <c r="E180" s="11">
        <v>87.87</v>
      </c>
      <c r="F180" s="11">
        <v>6783.8</v>
      </c>
      <c r="G180" s="11">
        <v>6516.21</v>
      </c>
    </row>
    <row r="181" spans="1:7">
      <c r="A181" s="10">
        <v>45910</v>
      </c>
      <c r="B181" s="11">
        <v>4253.48</v>
      </c>
      <c r="C181" s="11">
        <v>2684.77</v>
      </c>
      <c r="D181" s="11">
        <v>40391.65</v>
      </c>
      <c r="E181" s="11">
        <v>86.83</v>
      </c>
      <c r="F181" s="11">
        <v>6806.28</v>
      </c>
      <c r="G181" s="11">
        <v>6405.16</v>
      </c>
    </row>
    <row r="182" spans="1:7">
      <c r="A182" s="10">
        <v>45911</v>
      </c>
      <c r="B182" s="11">
        <v>4211.04</v>
      </c>
      <c r="C182" s="11">
        <v>2664.27</v>
      </c>
      <c r="D182" s="11">
        <v>39526.43</v>
      </c>
      <c r="E182" s="11">
        <v>87.66</v>
      </c>
      <c r="F182" s="11">
        <v>6774.92</v>
      </c>
      <c r="G182" s="11">
        <v>6375.44</v>
      </c>
    </row>
    <row r="183" spans="1:7">
      <c r="A183" s="10">
        <v>45912</v>
      </c>
      <c r="B183" s="11">
        <v>4136.66</v>
      </c>
      <c r="C183" s="11">
        <v>2647.87</v>
      </c>
      <c r="D183" s="11">
        <v>39213.24</v>
      </c>
      <c r="E183" s="11">
        <v>87.5</v>
      </c>
      <c r="F183" s="11">
        <v>6729.75</v>
      </c>
      <c r="G183" s="11">
        <v>6281.07</v>
      </c>
    </row>
    <row r="184" spans="1:7">
      <c r="A184" s="10">
        <v>45915</v>
      </c>
      <c r="B184" s="11">
        <v>4265.82</v>
      </c>
      <c r="C184" s="11">
        <v>2722.57</v>
      </c>
      <c r="D184" s="11">
        <v>38723.21</v>
      </c>
      <c r="E184" s="11">
        <v>88.55</v>
      </c>
      <c r="F184" s="11">
        <v>6746.56</v>
      </c>
      <c r="G184" s="11">
        <v>6313.4</v>
      </c>
    </row>
    <row r="185" spans="1:7">
      <c r="A185" s="10">
        <v>45916</v>
      </c>
      <c r="B185" s="11">
        <v>4319.39</v>
      </c>
      <c r="C185" s="11">
        <v>2733.39</v>
      </c>
      <c r="D185" s="11">
        <v>39351.47</v>
      </c>
      <c r="E185" s="11">
        <v>88.54000000000001</v>
      </c>
      <c r="F185" s="11">
        <v>6767.81</v>
      </c>
      <c r="G185" s="11">
        <v>6351.53</v>
      </c>
    </row>
    <row r="186" spans="1:7">
      <c r="A186" s="10">
        <v>45917</v>
      </c>
      <c r="B186" s="11">
        <v>4326.74</v>
      </c>
      <c r="C186" s="11">
        <v>2766.27</v>
      </c>
      <c r="D186" s="11">
        <v>39457.21</v>
      </c>
      <c r="E186" s="11">
        <v>89.45999999999999</v>
      </c>
      <c r="F186" s="11">
        <v>6846.66</v>
      </c>
      <c r="G186" s="11">
        <v>6442.13</v>
      </c>
    </row>
    <row r="187" spans="1:7">
      <c r="A187" s="10">
        <v>45918</v>
      </c>
      <c r="B187" s="11">
        <v>4324.09</v>
      </c>
      <c r="C187" s="11">
        <v>2810.76</v>
      </c>
      <c r="D187" s="11">
        <v>40494.69</v>
      </c>
      <c r="E187" s="11">
        <v>89.38</v>
      </c>
      <c r="F187" s="11">
        <v>6803.62</v>
      </c>
      <c r="G187" s="11">
        <v>6467.86</v>
      </c>
    </row>
    <row r="188" spans="1:7">
      <c r="A188" s="10">
        <v>45919</v>
      </c>
      <c r="B188" s="11">
        <v>4272.69</v>
      </c>
      <c r="C188" s="11">
        <v>2773.66</v>
      </c>
      <c r="D188" s="11">
        <v>40810.52</v>
      </c>
      <c r="E188" s="11">
        <v>90.34999999999999</v>
      </c>
      <c r="F188" s="11">
        <v>6857.92</v>
      </c>
      <c r="G188" s="11">
        <v>6448.01</v>
      </c>
    </row>
    <row r="189" spans="1:7">
      <c r="A189" s="10">
        <v>45922</v>
      </c>
      <c r="B189" s="11">
        <v>4184.41</v>
      </c>
      <c r="C189" s="11">
        <v>2762.32</v>
      </c>
      <c r="D189" s="11">
        <v>39274.79</v>
      </c>
      <c r="E189" s="11">
        <v>89.06999999999999</v>
      </c>
      <c r="F189" s="11">
        <v>6734.95</v>
      </c>
      <c r="G189" s="11">
        <v>6345.02</v>
      </c>
    </row>
    <row r="190" spans="1:7">
      <c r="A190" s="10">
        <v>45923</v>
      </c>
      <c r="B190" s="11">
        <v>4218.64</v>
      </c>
      <c r="C190" s="11">
        <v>2745.72</v>
      </c>
      <c r="D190" s="11">
        <v>39841.95</v>
      </c>
      <c r="E190" s="11">
        <v>88.88</v>
      </c>
      <c r="F190" s="11">
        <v>6818.48</v>
      </c>
      <c r="G190" s="11">
        <v>6327.78</v>
      </c>
    </row>
    <row r="191" spans="1:7">
      <c r="A191" s="10">
        <v>45924</v>
      </c>
      <c r="B191" s="11">
        <v>4091.67</v>
      </c>
      <c r="C191" s="11">
        <v>2570.07</v>
      </c>
      <c r="D191" s="11">
        <v>38794.31</v>
      </c>
      <c r="E191" s="11">
        <v>88</v>
      </c>
      <c r="F191" s="11">
        <v>6678.69</v>
      </c>
      <c r="G191" s="11">
        <v>6180.58</v>
      </c>
    </row>
    <row r="192" spans="1:7">
      <c r="A192" s="10">
        <v>45925</v>
      </c>
      <c r="B192" s="11">
        <v>4008.39</v>
      </c>
      <c r="C192" s="11">
        <v>2585.11</v>
      </c>
      <c r="D192" s="11">
        <v>39840.22</v>
      </c>
      <c r="E192" s="11">
        <v>87.54000000000001</v>
      </c>
      <c r="F192" s="11">
        <v>6675.75</v>
      </c>
      <c r="G192" s="11">
        <v>6167.51</v>
      </c>
    </row>
    <row r="193" spans="1:7">
      <c r="A193" s="10">
        <v>45926</v>
      </c>
      <c r="B193" s="11">
        <v>4069.04</v>
      </c>
      <c r="C193" s="11">
        <v>2689.06</v>
      </c>
      <c r="D193" s="11">
        <v>40130.03</v>
      </c>
      <c r="E193" s="11">
        <v>88.63</v>
      </c>
      <c r="F193" s="11">
        <v>6750.77</v>
      </c>
      <c r="G193" s="11">
        <v>6230.3</v>
      </c>
    </row>
    <row r="194" spans="1:7">
      <c r="A194" s="10">
        <v>45929</v>
      </c>
      <c r="B194" s="11">
        <v>4107.49</v>
      </c>
      <c r="C194" s="11">
        <v>2846.33</v>
      </c>
      <c r="D194" s="11">
        <v>40605.24</v>
      </c>
      <c r="E194" s="11">
        <v>88.2</v>
      </c>
      <c r="F194" s="11">
        <v>6879.95</v>
      </c>
      <c r="G194" s="11">
        <v>6329.33</v>
      </c>
    </row>
    <row r="195" spans="1:7">
      <c r="A195" s="10">
        <v>45930</v>
      </c>
      <c r="B195" s="11">
        <v>4062.16</v>
      </c>
      <c r="C195" s="11">
        <v>2738.31</v>
      </c>
      <c r="D195" s="11">
        <v>40835.08</v>
      </c>
      <c r="E195" s="11">
        <v>86.88</v>
      </c>
      <c r="F195" s="11">
        <v>6707.51</v>
      </c>
      <c r="G195" s="11">
        <v>6283.11</v>
      </c>
    </row>
    <row r="196" spans="1:7">
      <c r="A196" s="10">
        <v>45931</v>
      </c>
      <c r="B196" s="11">
        <v>4196.23</v>
      </c>
      <c r="C196" s="11">
        <v>2769.99</v>
      </c>
      <c r="D196" s="11">
        <v>41576.95</v>
      </c>
      <c r="E196" s="11">
        <v>88.17</v>
      </c>
      <c r="F196" s="11">
        <v>6718.91</v>
      </c>
      <c r="G196" s="11">
        <v>6325.68</v>
      </c>
    </row>
    <row r="197" spans="1:7">
      <c r="A197" s="10">
        <v>45932</v>
      </c>
      <c r="B197" s="11">
        <v>4209.6</v>
      </c>
      <c r="C197" s="11">
        <v>2837.26</v>
      </c>
      <c r="D197" s="11">
        <v>41191.21</v>
      </c>
      <c r="E197" s="11">
        <v>87.66</v>
      </c>
      <c r="F197" s="11">
        <v>6626.47</v>
      </c>
      <c r="G197" s="11">
        <v>6307.34</v>
      </c>
    </row>
    <row r="198" spans="1:7">
      <c r="A198" s="10">
        <v>45933</v>
      </c>
      <c r="B198" s="11">
        <v>4211.64</v>
      </c>
      <c r="C198" s="11">
        <v>2836.77</v>
      </c>
      <c r="D198" s="11">
        <v>41923.26</v>
      </c>
      <c r="E198" s="11">
        <v>87.02</v>
      </c>
      <c r="F198" s="11">
        <v>6536.32</v>
      </c>
      <c r="G198" s="11">
        <v>6322.33</v>
      </c>
    </row>
    <row r="199" spans="1:7">
      <c r="A199" s="10">
        <v>45936</v>
      </c>
      <c r="B199" s="11">
        <v>4203.06</v>
      </c>
      <c r="C199" s="11">
        <v>2820.83</v>
      </c>
      <c r="D199" s="11">
        <v>41489.48</v>
      </c>
      <c r="E199" s="11">
        <v>86.06999999999999</v>
      </c>
      <c r="F199" s="11">
        <v>6414.36</v>
      </c>
      <c r="G199" s="11">
        <v>6306.2</v>
      </c>
    </row>
    <row r="200" spans="1:7">
      <c r="A200" s="10">
        <v>45937</v>
      </c>
      <c r="B200" s="11">
        <v>4267.53</v>
      </c>
      <c r="C200" s="11">
        <v>2946.67</v>
      </c>
      <c r="D200" s="11">
        <v>41055.59</v>
      </c>
      <c r="E200" s="11">
        <v>86.23999999999999</v>
      </c>
      <c r="F200" s="11">
        <v>6477.97</v>
      </c>
      <c r="G200" s="11">
        <v>6360.5</v>
      </c>
    </row>
    <row r="201" spans="1:7">
      <c r="A201" s="10">
        <v>45938</v>
      </c>
      <c r="B201" s="11">
        <v>4219.46</v>
      </c>
      <c r="C201" s="11">
        <v>2948.84</v>
      </c>
      <c r="D201" s="11">
        <v>39860.09</v>
      </c>
      <c r="E201" s="11">
        <v>87.13</v>
      </c>
      <c r="F201" s="11">
        <v>6399.73</v>
      </c>
      <c r="G201" s="11">
        <v>6357.07</v>
      </c>
    </row>
    <row r="202" spans="1:7">
      <c r="A202" s="10">
        <v>45939</v>
      </c>
      <c r="B202" s="11">
        <v>4189.6</v>
      </c>
      <c r="C202" s="11">
        <v>3033.85</v>
      </c>
      <c r="D202" s="11">
        <v>41545.15</v>
      </c>
      <c r="E202" s="11">
        <v>88.04000000000001</v>
      </c>
      <c r="F202" s="11">
        <v>6326.91</v>
      </c>
      <c r="G202" s="11">
        <v>6430.22</v>
      </c>
    </row>
    <row r="203" spans="1:7">
      <c r="A203" s="10">
        <v>45940</v>
      </c>
      <c r="B203" s="11">
        <v>4212.54</v>
      </c>
      <c r="C203" s="11">
        <v>3019.08</v>
      </c>
      <c r="D203" s="11">
        <v>41752.98</v>
      </c>
      <c r="E203" s="11">
        <v>89.38</v>
      </c>
      <c r="F203" s="11">
        <v>6272.52</v>
      </c>
      <c r="G203" s="11">
        <v>6444.75</v>
      </c>
    </row>
    <row r="204" spans="1:7">
      <c r="A204" s="10">
        <v>45943</v>
      </c>
      <c r="B204" s="11">
        <v>4200.09</v>
      </c>
      <c r="C204" s="11">
        <v>2972.35</v>
      </c>
      <c r="D204" s="11">
        <v>41218.92</v>
      </c>
      <c r="E204" s="11">
        <v>89.40000000000001</v>
      </c>
      <c r="F204" s="11">
        <v>6275.98</v>
      </c>
      <c r="G204" s="11">
        <v>6385</v>
      </c>
    </row>
    <row r="205" spans="1:7">
      <c r="A205" s="10">
        <v>45944</v>
      </c>
      <c r="B205" s="11">
        <v>4272.07</v>
      </c>
      <c r="C205" s="11">
        <v>2875.37</v>
      </c>
      <c r="D205" s="11">
        <v>41060.22</v>
      </c>
      <c r="E205" s="11">
        <v>89.83</v>
      </c>
      <c r="F205" s="11">
        <v>6308.83</v>
      </c>
      <c r="G205" s="11">
        <v>6334.8</v>
      </c>
    </row>
    <row r="206" spans="1:7">
      <c r="A206" s="10">
        <v>45945</v>
      </c>
      <c r="B206" s="11">
        <v>4246.18</v>
      </c>
      <c r="C206" s="11">
        <v>2875.4</v>
      </c>
      <c r="D206" s="11">
        <v>40024.3</v>
      </c>
      <c r="E206" s="11">
        <v>90.75</v>
      </c>
      <c r="F206" s="11">
        <v>6245.18</v>
      </c>
      <c r="G206" s="11">
        <v>6348.1</v>
      </c>
    </row>
    <row r="207" spans="1:7">
      <c r="A207" s="10">
        <v>45946</v>
      </c>
      <c r="B207" s="11">
        <v>4171.8</v>
      </c>
      <c r="C207" s="11">
        <v>2847.09</v>
      </c>
      <c r="D207" s="11">
        <v>39124.65</v>
      </c>
      <c r="E207" s="11">
        <v>90.23999999999999</v>
      </c>
      <c r="F207" s="11">
        <v>6285.42</v>
      </c>
      <c r="G207" s="11">
        <v>6320.33</v>
      </c>
    </row>
    <row r="208" spans="1:7">
      <c r="A208" s="10">
        <v>45947</v>
      </c>
      <c r="B208" s="11">
        <v>4140.3</v>
      </c>
      <c r="C208" s="11">
        <v>2871.02</v>
      </c>
      <c r="D208" s="11">
        <v>38870.1</v>
      </c>
      <c r="E208" s="11">
        <v>90.43000000000001</v>
      </c>
      <c r="F208" s="11">
        <v>6245.78</v>
      </c>
      <c r="G208" s="11">
        <v>6326.27</v>
      </c>
    </row>
    <row r="209" spans="1:7">
      <c r="A209" s="10">
        <v>45950</v>
      </c>
      <c r="B209" s="11">
        <v>4188.34</v>
      </c>
      <c r="C209" s="11">
        <v>2901.58</v>
      </c>
      <c r="D209" s="11">
        <v>40119.73</v>
      </c>
      <c r="E209" s="11">
        <v>89.7</v>
      </c>
      <c r="F209" s="11">
        <v>6208.36</v>
      </c>
      <c r="G209" s="11">
        <v>6359.77</v>
      </c>
    </row>
    <row r="210" spans="1:7">
      <c r="A210" s="10">
        <v>45951</v>
      </c>
      <c r="B210" s="11">
        <v>4146.94</v>
      </c>
      <c r="C210" s="11">
        <v>2831.99</v>
      </c>
      <c r="D210" s="11">
        <v>38677.96</v>
      </c>
      <c r="E210" s="11">
        <v>89.89</v>
      </c>
      <c r="F210" s="11">
        <v>6120.35</v>
      </c>
      <c r="G210" s="11">
        <v>6259.06</v>
      </c>
    </row>
    <row r="211" spans="1:7">
      <c r="A211" s="10">
        <v>45952</v>
      </c>
      <c r="B211" s="11">
        <v>4113.74</v>
      </c>
      <c r="C211" s="11">
        <v>2882.93</v>
      </c>
      <c r="D211" s="11">
        <v>38565.87</v>
      </c>
      <c r="E211" s="11">
        <v>90.72</v>
      </c>
      <c r="F211" s="11">
        <v>6176.46</v>
      </c>
      <c r="G211" s="11">
        <v>6308.15</v>
      </c>
    </row>
    <row r="212" spans="1:7">
      <c r="A212" s="10">
        <v>45953</v>
      </c>
      <c r="B212" s="11">
        <v>4040.84</v>
      </c>
      <c r="C212" s="11">
        <v>2837.75</v>
      </c>
      <c r="D212" s="11">
        <v>38200.37</v>
      </c>
      <c r="E212" s="11">
        <v>90.87</v>
      </c>
      <c r="F212" s="11">
        <v>6107.09</v>
      </c>
      <c r="G212" s="11">
        <v>6204.28</v>
      </c>
    </row>
    <row r="213" spans="1:7">
      <c r="A213" s="10">
        <v>45954</v>
      </c>
      <c r="B213" s="11">
        <v>4085.03</v>
      </c>
      <c r="C213" s="11">
        <v>2780.53</v>
      </c>
      <c r="D213" s="11">
        <v>39190.84</v>
      </c>
      <c r="E213" s="11">
        <v>91.61</v>
      </c>
      <c r="F213" s="11">
        <v>6133.34</v>
      </c>
      <c r="G213" s="11">
        <v>6223.86</v>
      </c>
    </row>
    <row r="214" spans="1:7">
      <c r="A214" s="10">
        <v>45957</v>
      </c>
      <c r="B214" s="11">
        <v>4261.26</v>
      </c>
      <c r="C214" s="11">
        <v>2844.64</v>
      </c>
      <c r="D214" s="11">
        <v>40457.42</v>
      </c>
      <c r="E214" s="11">
        <v>93.23</v>
      </c>
      <c r="F214" s="11">
        <v>6352.81</v>
      </c>
      <c r="G214" s="11">
        <v>6371.9</v>
      </c>
    </row>
    <row r="215" spans="1:7">
      <c r="A215" s="10">
        <v>45958</v>
      </c>
      <c r="B215" s="11">
        <v>4328.05</v>
      </c>
      <c r="C215" s="11">
        <v>2888.53</v>
      </c>
      <c r="D215" s="11">
        <v>40340.89</v>
      </c>
      <c r="E215" s="11">
        <v>94.27</v>
      </c>
      <c r="F215" s="11">
        <v>6300.54</v>
      </c>
      <c r="G215" s="11">
        <v>6437.5</v>
      </c>
    </row>
    <row r="216" spans="1:7">
      <c r="A216" s="10">
        <v>45959</v>
      </c>
      <c r="B216" s="11">
        <v>4322.5</v>
      </c>
      <c r="C216" s="11">
        <v>2820.26</v>
      </c>
      <c r="D216" s="11">
        <v>39784.3</v>
      </c>
      <c r="E216" s="11">
        <v>92.98</v>
      </c>
      <c r="F216" s="11">
        <v>6326.53</v>
      </c>
      <c r="G216" s="11">
        <v>6379.21</v>
      </c>
    </row>
    <row r="217" spans="1:7">
      <c r="A217" s="10">
        <v>45960</v>
      </c>
      <c r="B217" s="11">
        <v>4301.51</v>
      </c>
      <c r="C217" s="11">
        <v>2780.24</v>
      </c>
      <c r="D217" s="11">
        <v>39187.92</v>
      </c>
      <c r="E217" s="11">
        <v>92.61</v>
      </c>
      <c r="F217" s="11">
        <v>6225.51</v>
      </c>
      <c r="G217" s="11">
        <v>6292.99</v>
      </c>
    </row>
    <row r="218" spans="1:7">
      <c r="A218" s="10">
        <v>45961</v>
      </c>
      <c r="B218" s="11">
        <v>4320.99</v>
      </c>
      <c r="C218" s="11">
        <v>2862.26</v>
      </c>
      <c r="D218" s="11">
        <v>39496.2</v>
      </c>
      <c r="E218" s="11">
        <v>93.62</v>
      </c>
      <c r="F218" s="11">
        <v>6231.28</v>
      </c>
      <c r="G218" s="11">
        <v>6352.64</v>
      </c>
    </row>
    <row r="219" spans="1:7">
      <c r="A219" s="10">
        <v>45964</v>
      </c>
      <c r="B219" s="11">
        <v>4340.01</v>
      </c>
      <c r="C219" s="11">
        <v>2853.25</v>
      </c>
      <c r="D219" s="11">
        <v>38426.53</v>
      </c>
      <c r="E219" s="11">
        <v>93.56999999999999</v>
      </c>
      <c r="F219" s="11">
        <v>6250.6</v>
      </c>
      <c r="G219" s="11">
        <v>6407.8</v>
      </c>
    </row>
    <row r="220" spans="1:7">
      <c r="A220" s="10">
        <v>45965</v>
      </c>
      <c r="B220" s="11">
        <v>4246.4</v>
      </c>
      <c r="C220" s="11">
        <v>2816.89</v>
      </c>
      <c r="D220" s="11">
        <v>36594.99</v>
      </c>
      <c r="E220" s="11">
        <v>92.81999999999999</v>
      </c>
      <c r="F220" s="11">
        <v>6191.85</v>
      </c>
      <c r="G220" s="11">
        <v>6336.82</v>
      </c>
    </row>
    <row r="221" spans="1:7">
      <c r="A221" s="10">
        <v>45966</v>
      </c>
      <c r="B221" s="11">
        <v>4221.26</v>
      </c>
      <c r="C221" s="11">
        <v>2901.51</v>
      </c>
      <c r="D221" s="11">
        <v>38029.27</v>
      </c>
      <c r="E221" s="11">
        <v>92.95</v>
      </c>
      <c r="F221" s="11">
        <v>6255.69</v>
      </c>
      <c r="G221" s="11">
        <v>6393.77</v>
      </c>
    </row>
    <row r="222" spans="1:7">
      <c r="A222" s="10">
        <v>45967</v>
      </c>
      <c r="B222" s="11">
        <v>4264.79</v>
      </c>
      <c r="C222" s="11">
        <v>2880.19</v>
      </c>
      <c r="D222" s="11">
        <v>37133.68</v>
      </c>
      <c r="E222" s="11">
        <v>93.40000000000001</v>
      </c>
      <c r="F222" s="11">
        <v>6326.27</v>
      </c>
      <c r="G222" s="11">
        <v>6382.67</v>
      </c>
    </row>
    <row r="223" spans="1:7">
      <c r="A223" s="10">
        <v>45968</v>
      </c>
      <c r="B223" s="11">
        <v>4299.07</v>
      </c>
      <c r="C223" s="11">
        <v>2987.28</v>
      </c>
      <c r="D223" s="11">
        <v>38171.31</v>
      </c>
      <c r="E223" s="11">
        <v>94.02</v>
      </c>
      <c r="F223" s="11">
        <v>6356.59</v>
      </c>
      <c r="G223" s="11">
        <v>6428.3</v>
      </c>
    </row>
    <row r="224" spans="1:7">
      <c r="A224" s="10">
        <v>45971</v>
      </c>
      <c r="B224" s="11">
        <v>4338.74</v>
      </c>
      <c r="C224" s="11">
        <v>3049.26</v>
      </c>
      <c r="D224" s="11">
        <v>39002.93</v>
      </c>
      <c r="E224" s="11">
        <v>94.66</v>
      </c>
      <c r="F224" s="11">
        <v>6557.31</v>
      </c>
      <c r="G224" s="11">
        <v>6496.25</v>
      </c>
    </row>
    <row r="225" spans="1:7">
      <c r="A225" s="10">
        <v>45972</v>
      </c>
      <c r="B225" s="11">
        <v>4302.52</v>
      </c>
      <c r="C225" s="11">
        <v>2993.94</v>
      </c>
      <c r="D225" s="11">
        <v>38513.45</v>
      </c>
      <c r="E225" s="11">
        <v>94.09999999999999</v>
      </c>
      <c r="F225" s="11">
        <v>6417.69</v>
      </c>
      <c r="G225" s="11">
        <v>6429.91</v>
      </c>
    </row>
    <row r="226" spans="1:7">
      <c r="A226" s="10">
        <v>45973</v>
      </c>
      <c r="B226" s="11">
        <v>4178.11</v>
      </c>
      <c r="C226" s="11">
        <v>2979.78</v>
      </c>
      <c r="D226" s="11">
        <v>39068.05</v>
      </c>
      <c r="E226" s="11">
        <v>94.03</v>
      </c>
      <c r="F226" s="11">
        <v>6410.7</v>
      </c>
      <c r="G226" s="11">
        <v>6399.14</v>
      </c>
    </row>
    <row r="227" spans="1:7">
      <c r="A227" s="10">
        <v>45974</v>
      </c>
      <c r="B227" s="11">
        <v>4261.7</v>
      </c>
      <c r="C227" s="11">
        <v>3076.15</v>
      </c>
      <c r="D227" s="11">
        <v>39668.94</v>
      </c>
      <c r="E227" s="11">
        <v>94.31999999999999</v>
      </c>
      <c r="F227" s="11">
        <v>6374.64</v>
      </c>
      <c r="G227" s="11">
        <v>6476.14</v>
      </c>
    </row>
    <row r="228" spans="1:7">
      <c r="A228" s="10">
        <v>45975</v>
      </c>
      <c r="B228" s="11">
        <v>4339.24</v>
      </c>
      <c r="C228" s="11">
        <v>3142.54</v>
      </c>
      <c r="D228" s="11">
        <v>39863.18</v>
      </c>
      <c r="E228" s="11">
        <v>93.45</v>
      </c>
      <c r="F228" s="11">
        <v>6464.77</v>
      </c>
      <c r="G228" s="11">
        <v>6540.81</v>
      </c>
    </row>
    <row r="229" spans="1:7">
      <c r="A229" s="10">
        <v>45978</v>
      </c>
      <c r="B229" s="11">
        <v>4268.38</v>
      </c>
      <c r="C229" s="11">
        <v>3097.39</v>
      </c>
      <c r="D229" s="11">
        <v>39551.18</v>
      </c>
      <c r="E229" s="11">
        <v>93.01000000000001</v>
      </c>
      <c r="F229" s="11">
        <v>6409.85</v>
      </c>
      <c r="G229" s="11">
        <v>6467.81</v>
      </c>
    </row>
    <row r="230" spans="1:7">
      <c r="A230" s="10">
        <v>45979</v>
      </c>
      <c r="B230" s="11">
        <v>4158.11</v>
      </c>
      <c r="C230" s="11">
        <v>3072.69</v>
      </c>
      <c r="D230" s="11">
        <v>39975.01</v>
      </c>
      <c r="E230" s="11">
        <v>93</v>
      </c>
      <c r="F230" s="11">
        <v>6386.52</v>
      </c>
      <c r="G230" s="11">
        <v>6443.05</v>
      </c>
    </row>
    <row r="231" spans="1:7">
      <c r="A231" s="10">
        <v>45980</v>
      </c>
      <c r="B231" s="11">
        <v>4165.19</v>
      </c>
      <c r="C231" s="11">
        <v>3108.14</v>
      </c>
      <c r="D231" s="11">
        <v>40122.1</v>
      </c>
      <c r="E231" s="11">
        <v>93.39</v>
      </c>
      <c r="F231" s="11">
        <v>6460.87</v>
      </c>
      <c r="G231" s="11">
        <v>6456.97</v>
      </c>
    </row>
    <row r="232" spans="1:7">
      <c r="A232" s="10">
        <v>45981</v>
      </c>
      <c r="B232" s="11">
        <v>4234.78</v>
      </c>
      <c r="C232" s="11">
        <v>3165.62</v>
      </c>
      <c r="D232" s="11">
        <v>42024.94</v>
      </c>
      <c r="E232" s="11">
        <v>94.8</v>
      </c>
      <c r="F232" s="11">
        <v>6536.68</v>
      </c>
      <c r="G232" s="11">
        <v>6509.53</v>
      </c>
    </row>
    <row r="233" spans="1:7">
      <c r="A233" s="10">
        <v>45982</v>
      </c>
      <c r="B233" s="11">
        <v>4276.28</v>
      </c>
      <c r="C233" s="11">
        <v>3177.42</v>
      </c>
      <c r="D233" s="11">
        <v>41788.1</v>
      </c>
      <c r="E233" s="11">
        <v>95.54000000000001</v>
      </c>
      <c r="F233" s="11">
        <v>6529.87</v>
      </c>
      <c r="G233" s="11">
        <v>6503.2</v>
      </c>
    </row>
    <row r="234" spans="1:7">
      <c r="A234" s="10">
        <v>45985</v>
      </c>
      <c r="B234" s="11">
        <v>4389.96</v>
      </c>
      <c r="C234" s="11">
        <v>3247.24</v>
      </c>
      <c r="D234" s="11">
        <v>42833.58</v>
      </c>
      <c r="E234" s="11">
        <v>94.95999999999999</v>
      </c>
      <c r="F234" s="11">
        <v>6635.65</v>
      </c>
      <c r="G234" s="11">
        <v>6583.99</v>
      </c>
    </row>
    <row r="235" spans="1:7">
      <c r="A235" s="10">
        <v>45986</v>
      </c>
      <c r="B235" s="11">
        <v>4386.4</v>
      </c>
      <c r="C235" s="11">
        <v>3317.09</v>
      </c>
      <c r="D235" s="11">
        <v>43329.79</v>
      </c>
      <c r="E235" s="11">
        <v>94.12</v>
      </c>
      <c r="F235" s="11">
        <v>6666.79</v>
      </c>
      <c r="G235" s="11">
        <v>6625.95</v>
      </c>
    </row>
    <row r="236" spans="1:7">
      <c r="A236" s="10">
        <v>45987</v>
      </c>
      <c r="B236" s="11">
        <v>4361.25</v>
      </c>
      <c r="C236" s="11">
        <v>3301.8</v>
      </c>
      <c r="D236" s="11">
        <v>44115.57</v>
      </c>
      <c r="E236" s="11">
        <v>95.8</v>
      </c>
      <c r="F236" s="11">
        <v>6814.04</v>
      </c>
      <c r="G236" s="11">
        <v>6657.92</v>
      </c>
    </row>
    <row r="237" spans="1:7">
      <c r="A237" s="10">
        <v>45988</v>
      </c>
      <c r="B237" s="11">
        <v>4421.71</v>
      </c>
      <c r="C237" s="11">
        <v>3347.56</v>
      </c>
      <c r="D237" s="11">
        <v>45454.09</v>
      </c>
      <c r="E237" s="11">
        <v>97.39</v>
      </c>
      <c r="F237" s="11">
        <v>6668.66</v>
      </c>
      <c r="G237" s="11">
        <v>6697.8</v>
      </c>
    </row>
    <row r="238" spans="1:7">
      <c r="A238" s="10">
        <v>45989</v>
      </c>
      <c r="B238" s="11">
        <v>4408.55</v>
      </c>
      <c r="C238" s="11">
        <v>3319.95</v>
      </c>
      <c r="D238" s="11">
        <v>44612.41</v>
      </c>
      <c r="E238" s="11">
        <v>97.68000000000001</v>
      </c>
      <c r="F238" s="11">
        <v>6686.52</v>
      </c>
      <c r="G238" s="11">
        <v>6689.57</v>
      </c>
    </row>
    <row r="239" spans="1:7">
      <c r="A239" s="10">
        <v>45992</v>
      </c>
      <c r="B239" s="11">
        <v>4365.47</v>
      </c>
      <c r="C239" s="11">
        <v>3204.87</v>
      </c>
      <c r="D239" s="11">
        <v>43305.39</v>
      </c>
      <c r="E239" s="11">
        <v>95.93000000000001</v>
      </c>
      <c r="F239" s="11">
        <v>6568.5</v>
      </c>
      <c r="G239" s="11">
        <v>6649.38</v>
      </c>
    </row>
    <row r="240" spans="1:7">
      <c r="A240" s="10">
        <v>45993</v>
      </c>
      <c r="B240" s="11">
        <v>4388.92</v>
      </c>
      <c r="C240" s="11">
        <v>3134.09</v>
      </c>
      <c r="D240" s="11">
        <v>41912.42</v>
      </c>
      <c r="E240" s="11">
        <v>94.36</v>
      </c>
      <c r="F240" s="11">
        <v>6469.26</v>
      </c>
      <c r="G240" s="11">
        <v>6554.34</v>
      </c>
    </row>
    <row r="241" spans="1:7">
      <c r="A241" s="10">
        <v>45994</v>
      </c>
      <c r="B241" s="11">
        <v>4411.61</v>
      </c>
      <c r="C241" s="11">
        <v>3143.64</v>
      </c>
      <c r="D241" s="11">
        <v>41711.55</v>
      </c>
      <c r="E241" s="11">
        <v>92.77</v>
      </c>
      <c r="F241" s="11">
        <v>6568.05</v>
      </c>
      <c r="G241" s="11">
        <v>6550.07</v>
      </c>
    </row>
    <row r="242" spans="1:7">
      <c r="A242" s="10">
        <v>45995</v>
      </c>
      <c r="B242" s="11">
        <v>4392.8</v>
      </c>
      <c r="C242" s="11">
        <v>3100.33</v>
      </c>
      <c r="D242" s="11">
        <v>39908.5</v>
      </c>
      <c r="E242" s="11">
        <v>92.48</v>
      </c>
      <c r="F242" s="11">
        <v>6346.14</v>
      </c>
      <c r="G242" s="11">
        <v>6513.43</v>
      </c>
    </row>
    <row r="243" spans="1:7">
      <c r="A243" s="10">
        <v>45996</v>
      </c>
      <c r="B243" s="11">
        <v>4345.57</v>
      </c>
      <c r="C243" s="11">
        <v>3093.68</v>
      </c>
      <c r="D243" s="11">
        <v>38514.33</v>
      </c>
      <c r="E243" s="11">
        <v>92.39</v>
      </c>
      <c r="F243" s="11">
        <v>6385.49</v>
      </c>
      <c r="G243" s="11">
        <v>6465.72</v>
      </c>
    </row>
    <row r="244" spans="1:7">
      <c r="A244" s="10">
        <v>45999</v>
      </c>
      <c r="B244" s="11">
        <v>4335.59</v>
      </c>
      <c r="C244" s="11">
        <v>3080.95</v>
      </c>
      <c r="D244" s="11">
        <v>35936.05</v>
      </c>
      <c r="E244" s="11">
        <v>92.56</v>
      </c>
      <c r="F244" s="11">
        <v>6307.58</v>
      </c>
      <c r="G244" s="11">
        <v>6415.05</v>
      </c>
    </row>
    <row r="245" spans="1:7">
      <c r="A245" s="10">
        <v>46000</v>
      </c>
      <c r="B245" s="11">
        <v>4269.56</v>
      </c>
      <c r="C245" s="11">
        <v>3088.67</v>
      </c>
      <c r="D245" s="11">
        <v>36278.33</v>
      </c>
      <c r="E245" s="11">
        <v>92.90000000000001</v>
      </c>
      <c r="F245" s="11">
        <v>6197.4</v>
      </c>
      <c r="G245" s="11">
        <v>6398.16</v>
      </c>
    </row>
    <row r="246" spans="1:7">
      <c r="A246" s="10">
        <v>46001</v>
      </c>
      <c r="B246" s="11">
        <v>4293.15</v>
      </c>
      <c r="C246" s="11">
        <v>3207.52</v>
      </c>
      <c r="D246" s="11">
        <v>36798.78</v>
      </c>
      <c r="E246" s="11">
        <v>93.88</v>
      </c>
      <c r="F246" s="11">
        <v>6370.82</v>
      </c>
      <c r="G246" s="11">
        <v>6514.93</v>
      </c>
    </row>
    <row r="247" spans="1:7">
      <c r="A247" s="10">
        <v>46002</v>
      </c>
      <c r="B247" s="11">
        <v>4294.2</v>
      </c>
      <c r="C247" s="11">
        <v>3095.89</v>
      </c>
      <c r="D247" s="11">
        <v>35369.4</v>
      </c>
      <c r="E247" s="11">
        <v>95</v>
      </c>
      <c r="F247" s="11">
        <v>6371</v>
      </c>
      <c r="G247" s="11">
        <v>6503.82</v>
      </c>
    </row>
    <row r="248" spans="1:7">
      <c r="A248" s="10">
        <v>46003</v>
      </c>
      <c r="B248" s="11">
        <v>4327.4</v>
      </c>
      <c r="C248" s="11">
        <v>3104.32</v>
      </c>
      <c r="D248" s="11">
        <v>35725.74</v>
      </c>
      <c r="E248" s="11">
        <v>95.05</v>
      </c>
      <c r="F248" s="11">
        <v>6469.3</v>
      </c>
      <c r="G248" s="11">
        <v>6558.35</v>
      </c>
    </row>
    <row r="249" spans="1:7">
      <c r="A249" s="10">
        <v>46006</v>
      </c>
      <c r="B249" s="11">
        <v>4381.42</v>
      </c>
      <c r="C249" s="11">
        <v>3122.24</v>
      </c>
      <c r="D249" s="11">
        <v>36056.79</v>
      </c>
      <c r="E249" s="11">
        <v>95.2</v>
      </c>
      <c r="F249" s="11">
        <v>6540.4</v>
      </c>
      <c r="G249" s="11">
        <v>6559.44</v>
      </c>
    </row>
    <row r="250" spans="1:7">
      <c r="A250" s="10">
        <v>46007</v>
      </c>
      <c r="B250" s="11">
        <v>4467.29</v>
      </c>
      <c r="C250" s="11">
        <v>3125.44</v>
      </c>
      <c r="D250" s="11">
        <v>35859.73</v>
      </c>
      <c r="E250" s="11">
        <v>94.48999999999999</v>
      </c>
      <c r="F250" s="11">
        <v>6551.64</v>
      </c>
      <c r="G250" s="11">
        <v>6584.47</v>
      </c>
    </row>
    <row r="251" spans="1:7">
      <c r="A251" s="10">
        <v>46008</v>
      </c>
      <c r="B251" s="11">
        <v>4376.68</v>
      </c>
      <c r="C251" s="11">
        <v>3217.93</v>
      </c>
      <c r="D251" s="11">
        <v>35969.14</v>
      </c>
      <c r="E251" s="11">
        <v>95.15000000000001</v>
      </c>
      <c r="F251" s="11">
        <v>6598.36</v>
      </c>
      <c r="G251" s="11">
        <v>6473.51</v>
      </c>
    </row>
    <row r="252" spans="1:7">
      <c r="A252" s="10">
        <v>46009</v>
      </c>
      <c r="B252" s="11">
        <v>4384.95</v>
      </c>
      <c r="C252" s="11">
        <v>3231.1</v>
      </c>
      <c r="D252" s="11">
        <v>36915.13</v>
      </c>
      <c r="E252" s="11">
        <v>95.81999999999999</v>
      </c>
      <c r="F252" s="11">
        <v>6757.24</v>
      </c>
      <c r="G252" s="11">
        <v>6545.37</v>
      </c>
    </row>
    <row r="253" spans="1:7">
      <c r="A253" s="10">
        <v>46010</v>
      </c>
      <c r="B253" s="11">
        <v>4453.76</v>
      </c>
      <c r="C253" s="11">
        <v>3260.19</v>
      </c>
      <c r="D253" s="11">
        <v>37142.42</v>
      </c>
      <c r="E253" s="11">
        <v>96.06999999999999</v>
      </c>
      <c r="F253" s="11">
        <v>6860.26</v>
      </c>
      <c r="G253" s="11">
        <v>6558.76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5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7" width="11.7109375" customWidth="1"/>
    <col min="9" max="9" width="30.7109375" customWidth="1"/>
    <col min="10" max="15" width="12.7109375" customWidth="1"/>
  </cols>
  <sheetData>
    <row r="1" spans="1:15">
      <c r="A1" s="7" t="s">
        <v>44</v>
      </c>
      <c r="B1" s="7" t="s">
        <v>45</v>
      </c>
      <c r="C1" s="7" t="s">
        <v>46</v>
      </c>
      <c r="D1" s="7" t="s">
        <v>47</v>
      </c>
      <c r="E1" s="7" t="s">
        <v>48</v>
      </c>
      <c r="F1" s="7" t="s">
        <v>49</v>
      </c>
      <c r="G1" s="7" t="s">
        <v>50</v>
      </c>
      <c r="I1" s="7" t="s">
        <v>52</v>
      </c>
      <c r="J1" s="7"/>
    </row>
    <row r="2" spans="1:15">
      <c r="A2" s="12">
        <f>'1_Precios'!A2</f>
        <v>0</v>
      </c>
      <c r="B2" s="13">
        <f>'1_Precios'!B2/'1_Precios'!B1-1</f>
        <v>0</v>
      </c>
      <c r="C2" s="13">
        <f>'1_Precios'!C2/'1_Precios'!C1-1</f>
        <v>0</v>
      </c>
      <c r="D2" s="13">
        <f>'1_Precios'!D2/'1_Precios'!D1-1</f>
        <v>0</v>
      </c>
      <c r="E2" s="13">
        <f>'1_Precios'!E2/'1_Precios'!E1-1</f>
        <v>0</v>
      </c>
      <c r="F2" s="13">
        <f>'1_Precios'!F2/'1_Precios'!F1-1</f>
        <v>0</v>
      </c>
      <c r="G2" s="13">
        <f>'1_Precios'!G2/'1_Precios'!G1-1</f>
        <v>0</v>
      </c>
      <c r="I2" s="14" t="s">
        <v>53</v>
      </c>
      <c r="J2" s="15">
        <v>0.0475</v>
      </c>
      <c r="K2" s="16" t="s">
        <v>54</v>
      </c>
    </row>
    <row r="3" spans="1:15">
      <c r="A3" s="12">
        <f>'1_Precios'!A3</f>
        <v>0</v>
      </c>
      <c r="B3" s="13">
        <f>'1_Precios'!B3/'1_Precios'!B2-1</f>
        <v>0</v>
      </c>
      <c r="C3" s="13">
        <f>'1_Precios'!C3/'1_Precios'!C2-1</f>
        <v>0</v>
      </c>
      <c r="D3" s="13">
        <f>'1_Precios'!D3/'1_Precios'!D2-1</f>
        <v>0</v>
      </c>
      <c r="E3" s="13">
        <f>'1_Precios'!E3/'1_Precios'!E2-1</f>
        <v>0</v>
      </c>
      <c r="F3" s="13">
        <f>'1_Precios'!F3/'1_Precios'!F2-1</f>
        <v>0</v>
      </c>
      <c r="G3" s="13">
        <f>'1_Precios'!G3/'1_Precios'!G2-1</f>
        <v>0</v>
      </c>
      <c r="I3" s="14" t="s">
        <v>55</v>
      </c>
      <c r="J3" s="17">
        <v>252</v>
      </c>
    </row>
    <row r="4" spans="1:15">
      <c r="A4" s="12">
        <f>'1_Precios'!A4</f>
        <v>0</v>
      </c>
      <c r="B4" s="13">
        <f>'1_Precios'!B4/'1_Precios'!B3-1</f>
        <v>0</v>
      </c>
      <c r="C4" s="13">
        <f>'1_Precios'!C4/'1_Precios'!C3-1</f>
        <v>0</v>
      </c>
      <c r="D4" s="13">
        <f>'1_Precios'!D4/'1_Precios'!D3-1</f>
        <v>0</v>
      </c>
      <c r="E4" s="13">
        <f>'1_Precios'!E4/'1_Precios'!E3-1</f>
        <v>0</v>
      </c>
      <c r="F4" s="13">
        <f>'1_Precios'!F4/'1_Precios'!F3-1</f>
        <v>0</v>
      </c>
      <c r="G4" s="13">
        <f>'1_Precios'!G4/'1_Precios'!G3-1</f>
        <v>0</v>
      </c>
    </row>
    <row r="5" spans="1:15">
      <c r="A5" s="12">
        <f>'1_Precios'!A5</f>
        <v>0</v>
      </c>
      <c r="B5" s="13">
        <f>'1_Precios'!B5/'1_Precios'!B4-1</f>
        <v>0</v>
      </c>
      <c r="C5" s="13">
        <f>'1_Precios'!C5/'1_Precios'!C4-1</f>
        <v>0</v>
      </c>
      <c r="D5" s="13">
        <f>'1_Precios'!D5/'1_Precios'!D4-1</f>
        <v>0</v>
      </c>
      <c r="E5" s="13">
        <f>'1_Precios'!E5/'1_Precios'!E4-1</f>
        <v>0</v>
      </c>
      <c r="F5" s="13">
        <f>'1_Precios'!F5/'1_Precios'!F4-1</f>
        <v>0</v>
      </c>
      <c r="G5" s="13">
        <f>'1_Precios'!G5/'1_Precios'!G4-1</f>
        <v>0</v>
      </c>
      <c r="I5" s="7" t="s">
        <v>56</v>
      </c>
      <c r="J5" s="7" t="s">
        <v>45</v>
      </c>
      <c r="K5" s="7" t="s">
        <v>46</v>
      </c>
      <c r="L5" s="7" t="s">
        <v>47</v>
      </c>
      <c r="M5" s="7" t="s">
        <v>48</v>
      </c>
      <c r="N5" s="7" t="s">
        <v>49</v>
      </c>
      <c r="O5" s="7" t="s">
        <v>50</v>
      </c>
    </row>
    <row r="6" spans="1:15">
      <c r="A6" s="12">
        <f>'1_Precios'!A6</f>
        <v>0</v>
      </c>
      <c r="B6" s="13">
        <f>'1_Precios'!B6/'1_Precios'!B5-1</f>
        <v>0</v>
      </c>
      <c r="C6" s="13">
        <f>'1_Precios'!C6/'1_Precios'!C5-1</f>
        <v>0</v>
      </c>
      <c r="D6" s="13">
        <f>'1_Precios'!D6/'1_Precios'!D5-1</f>
        <v>0</v>
      </c>
      <c r="E6" s="13">
        <f>'1_Precios'!E6/'1_Precios'!E5-1</f>
        <v>0</v>
      </c>
      <c r="F6" s="13">
        <f>'1_Precios'!F6/'1_Precios'!F5-1</f>
        <v>0</v>
      </c>
      <c r="G6" s="13">
        <f>'1_Precios'!G6/'1_Precios'!G5-1</f>
        <v>0</v>
      </c>
      <c r="I6" s="14" t="s">
        <v>57</v>
      </c>
      <c r="J6" s="13">
        <f>AVERAGE(B2:B252)</f>
        <v>0</v>
      </c>
      <c r="K6" s="13">
        <f>AVERAGE(C2:C252)</f>
        <v>0</v>
      </c>
      <c r="L6" s="13">
        <f>AVERAGE(D2:D252)</f>
        <v>0</v>
      </c>
      <c r="M6" s="13">
        <f>AVERAGE(E2:E252)</f>
        <v>0</v>
      </c>
      <c r="N6" s="13">
        <f>AVERAGE(F2:F252)</f>
        <v>0</v>
      </c>
      <c r="O6" s="13">
        <f>AVERAGE(G2:G252)</f>
        <v>0</v>
      </c>
    </row>
    <row r="7" spans="1:15">
      <c r="A7" s="12">
        <f>'1_Precios'!A7</f>
        <v>0</v>
      </c>
      <c r="B7" s="13">
        <f>'1_Precios'!B7/'1_Precios'!B6-1</f>
        <v>0</v>
      </c>
      <c r="C7" s="13">
        <f>'1_Precios'!C7/'1_Precios'!C6-1</f>
        <v>0</v>
      </c>
      <c r="D7" s="13">
        <f>'1_Precios'!D7/'1_Precios'!D6-1</f>
        <v>0</v>
      </c>
      <c r="E7" s="13">
        <f>'1_Precios'!E7/'1_Precios'!E6-1</f>
        <v>0</v>
      </c>
      <c r="F7" s="13">
        <f>'1_Precios'!F7/'1_Precios'!F6-1</f>
        <v>0</v>
      </c>
      <c r="G7" s="13">
        <f>'1_Precios'!G7/'1_Precios'!G6-1</f>
        <v>0</v>
      </c>
      <c r="I7" s="14" t="s">
        <v>58</v>
      </c>
      <c r="J7" s="18">
        <f>(1+J6)^$J$3-1</f>
        <v>0</v>
      </c>
      <c r="K7" s="18">
        <f>(1+K6)^$J$3-1</f>
        <v>0</v>
      </c>
      <c r="L7" s="18">
        <f>(1+L6)^$J$3-1</f>
        <v>0</v>
      </c>
      <c r="M7" s="18">
        <f>(1+M6)^$J$3-1</f>
        <v>0</v>
      </c>
      <c r="N7" s="18">
        <f>(1+N6)^$J$3-1</f>
        <v>0</v>
      </c>
      <c r="O7" s="18">
        <f>(1+O6)^$J$3-1</f>
        <v>0</v>
      </c>
    </row>
    <row r="8" spans="1:15">
      <c r="A8" s="12">
        <f>'1_Precios'!A8</f>
        <v>0</v>
      </c>
      <c r="B8" s="13">
        <f>'1_Precios'!B8/'1_Precios'!B7-1</f>
        <v>0</v>
      </c>
      <c r="C8" s="13">
        <f>'1_Precios'!C8/'1_Precios'!C7-1</f>
        <v>0</v>
      </c>
      <c r="D8" s="13">
        <f>'1_Precios'!D8/'1_Precios'!D7-1</f>
        <v>0</v>
      </c>
      <c r="E8" s="13">
        <f>'1_Precios'!E8/'1_Precios'!E7-1</f>
        <v>0</v>
      </c>
      <c r="F8" s="13">
        <f>'1_Precios'!F8/'1_Precios'!F7-1</f>
        <v>0</v>
      </c>
      <c r="G8" s="13">
        <f>'1_Precios'!G8/'1_Precios'!G7-1</f>
        <v>0</v>
      </c>
      <c r="I8" s="14" t="s">
        <v>59</v>
      </c>
      <c r="J8" s="13">
        <f>_xlfn.STDEV.S(B2:B252)</f>
        <v>0</v>
      </c>
      <c r="K8" s="13">
        <f>_xlfn.STDEV.S(C2:C252)</f>
        <v>0</v>
      </c>
      <c r="L8" s="13">
        <f>_xlfn.STDEV.S(D2:D252)</f>
        <v>0</v>
      </c>
      <c r="M8" s="13">
        <f>_xlfn.STDEV.S(E2:E252)</f>
        <v>0</v>
      </c>
      <c r="N8" s="13">
        <f>_xlfn.STDEV.S(F2:F252)</f>
        <v>0</v>
      </c>
      <c r="O8" s="13">
        <f>_xlfn.STDEV.S(G2:G252)</f>
        <v>0</v>
      </c>
    </row>
    <row r="9" spans="1:15">
      <c r="A9" s="12">
        <f>'1_Precios'!A9</f>
        <v>0</v>
      </c>
      <c r="B9" s="13">
        <f>'1_Precios'!B9/'1_Precios'!B8-1</f>
        <v>0</v>
      </c>
      <c r="C9" s="13">
        <f>'1_Precios'!C9/'1_Precios'!C8-1</f>
        <v>0</v>
      </c>
      <c r="D9" s="13">
        <f>'1_Precios'!D9/'1_Precios'!D8-1</f>
        <v>0</v>
      </c>
      <c r="E9" s="13">
        <f>'1_Precios'!E9/'1_Precios'!E8-1</f>
        <v>0</v>
      </c>
      <c r="F9" s="13">
        <f>'1_Precios'!F9/'1_Precios'!F8-1</f>
        <v>0</v>
      </c>
      <c r="G9" s="13">
        <f>'1_Precios'!G9/'1_Precios'!G8-1</f>
        <v>0</v>
      </c>
      <c r="I9" s="14" t="s">
        <v>60</v>
      </c>
      <c r="J9" s="18">
        <f>J8*SQRT($J$3)</f>
        <v>0</v>
      </c>
      <c r="K9" s="18">
        <f>K8*SQRT($J$3)</f>
        <v>0</v>
      </c>
      <c r="L9" s="18">
        <f>L8*SQRT($J$3)</f>
        <v>0</v>
      </c>
      <c r="M9" s="18">
        <f>M8*SQRT($J$3)</f>
        <v>0</v>
      </c>
      <c r="N9" s="18">
        <f>N8*SQRT($J$3)</f>
        <v>0</v>
      </c>
      <c r="O9" s="18">
        <f>O8*SQRT($J$3)</f>
        <v>0</v>
      </c>
    </row>
    <row r="10" spans="1:15">
      <c r="A10" s="12">
        <f>'1_Precios'!A10</f>
        <v>0</v>
      </c>
      <c r="B10" s="13">
        <f>'1_Precios'!B10/'1_Precios'!B9-1</f>
        <v>0</v>
      </c>
      <c r="C10" s="13">
        <f>'1_Precios'!C10/'1_Precios'!C9-1</f>
        <v>0</v>
      </c>
      <c r="D10" s="13">
        <f>'1_Precios'!D10/'1_Precios'!D9-1</f>
        <v>0</v>
      </c>
      <c r="E10" s="13">
        <f>'1_Precios'!E10/'1_Precios'!E9-1</f>
        <v>0</v>
      </c>
      <c r="F10" s="13">
        <f>'1_Precios'!F10/'1_Precios'!F9-1</f>
        <v>0</v>
      </c>
      <c r="G10" s="13">
        <f>'1_Precios'!G10/'1_Precios'!G9-1</f>
        <v>0</v>
      </c>
      <c r="I10" s="14" t="s">
        <v>61</v>
      </c>
      <c r="J10" s="19">
        <f>(J7-$J$2)/J9</f>
        <v>0</v>
      </c>
      <c r="K10" s="19">
        <f>(K7-$J$2)/K9</f>
        <v>0</v>
      </c>
      <c r="L10" s="19">
        <f>(L7-$J$2)/L9</f>
        <v>0</v>
      </c>
      <c r="M10" s="19">
        <f>(M7-$J$2)/M9</f>
        <v>0</v>
      </c>
      <c r="N10" s="19">
        <f>(N7-$J$2)/N9</f>
        <v>0</v>
      </c>
      <c r="O10" s="19">
        <f>(O7-$J$2)/O9</f>
        <v>0</v>
      </c>
    </row>
    <row r="11" spans="1:15">
      <c r="A11" s="12">
        <f>'1_Precios'!A11</f>
        <v>0</v>
      </c>
      <c r="B11" s="13">
        <f>'1_Precios'!B11/'1_Precios'!B10-1</f>
        <v>0</v>
      </c>
      <c r="C11" s="13">
        <f>'1_Precios'!C11/'1_Precios'!C10-1</f>
        <v>0</v>
      </c>
      <c r="D11" s="13">
        <f>'1_Precios'!D11/'1_Precios'!D10-1</f>
        <v>0</v>
      </c>
      <c r="E11" s="13">
        <f>'1_Precios'!E11/'1_Precios'!E10-1</f>
        <v>0</v>
      </c>
      <c r="F11" s="13">
        <f>'1_Precios'!F11/'1_Precios'!F10-1</f>
        <v>0</v>
      </c>
      <c r="G11" s="13">
        <f>'1_Precios'!G11/'1_Precios'!G10-1</f>
        <v>0</v>
      </c>
      <c r="I11" s="14" t="s">
        <v>62</v>
      </c>
      <c r="J11" s="13">
        <f>INDEX('1_Precios'!B$2:B$253,252)/'1_Precios'!B$2-1</f>
        <v>0</v>
      </c>
      <c r="K11" s="13">
        <f>INDEX('1_Precios'!C$2:C$253,252)/'1_Precios'!C$2-1</f>
        <v>0</v>
      </c>
      <c r="L11" s="13">
        <f>INDEX('1_Precios'!D$2:D$253,252)/'1_Precios'!D$2-1</f>
        <v>0</v>
      </c>
      <c r="M11" s="13">
        <f>INDEX('1_Precios'!E$2:E$253,252)/'1_Precios'!E$2-1</f>
        <v>0</v>
      </c>
      <c r="N11" s="13">
        <f>INDEX('1_Precios'!F$2:F$253,252)/'1_Precios'!F$2-1</f>
        <v>0</v>
      </c>
      <c r="O11" s="13">
        <f>INDEX('1_Precios'!G$2:G$253,252)/'1_Precios'!G$2-1</f>
        <v>0</v>
      </c>
    </row>
    <row r="12" spans="1:15">
      <c r="A12" s="12">
        <f>'1_Precios'!A12</f>
        <v>0</v>
      </c>
      <c r="B12" s="13">
        <f>'1_Precios'!B12/'1_Precios'!B11-1</f>
        <v>0</v>
      </c>
      <c r="C12" s="13">
        <f>'1_Precios'!C12/'1_Precios'!C11-1</f>
        <v>0</v>
      </c>
      <c r="D12" s="13">
        <f>'1_Precios'!D12/'1_Precios'!D11-1</f>
        <v>0</v>
      </c>
      <c r="E12" s="13">
        <f>'1_Precios'!E12/'1_Precios'!E11-1</f>
        <v>0</v>
      </c>
      <c r="F12" s="13">
        <f>'1_Precios'!F12/'1_Precios'!F11-1</f>
        <v>0</v>
      </c>
      <c r="G12" s="13">
        <f>'1_Precios'!G12/'1_Precios'!G11-1</f>
        <v>0</v>
      </c>
      <c r="I12" s="14" t="s">
        <v>63</v>
      </c>
      <c r="J12" s="13">
        <f>MAX(B2:B252)</f>
        <v>0</v>
      </c>
      <c r="K12" s="13">
        <f>MAX(C2:C252)</f>
        <v>0</v>
      </c>
      <c r="L12" s="13">
        <f>MAX(D2:D252)</f>
        <v>0</v>
      </c>
      <c r="M12" s="13">
        <f>MAX(E2:E252)</f>
        <v>0</v>
      </c>
      <c r="N12" s="13">
        <f>MAX(F2:F252)</f>
        <v>0</v>
      </c>
      <c r="O12" s="13">
        <f>MAX(G2:G252)</f>
        <v>0</v>
      </c>
    </row>
    <row r="13" spans="1:15">
      <c r="A13" s="12">
        <f>'1_Precios'!A13</f>
        <v>0</v>
      </c>
      <c r="B13" s="13">
        <f>'1_Precios'!B13/'1_Precios'!B12-1</f>
        <v>0</v>
      </c>
      <c r="C13" s="13">
        <f>'1_Precios'!C13/'1_Precios'!C12-1</f>
        <v>0</v>
      </c>
      <c r="D13" s="13">
        <f>'1_Precios'!D13/'1_Precios'!D12-1</f>
        <v>0</v>
      </c>
      <c r="E13" s="13">
        <f>'1_Precios'!E13/'1_Precios'!E12-1</f>
        <v>0</v>
      </c>
      <c r="F13" s="13">
        <f>'1_Precios'!F13/'1_Precios'!F12-1</f>
        <v>0</v>
      </c>
      <c r="G13" s="13">
        <f>'1_Precios'!G13/'1_Precios'!G12-1</f>
        <v>0</v>
      </c>
      <c r="I13" s="14" t="s">
        <v>64</v>
      </c>
      <c r="J13" s="13">
        <f>MIN(B2:B252)</f>
        <v>0</v>
      </c>
      <c r="K13" s="13">
        <f>MIN(C2:C252)</f>
        <v>0</v>
      </c>
      <c r="L13" s="13">
        <f>MIN(D2:D252)</f>
        <v>0</v>
      </c>
      <c r="M13" s="13">
        <f>MIN(E2:E252)</f>
        <v>0</v>
      </c>
      <c r="N13" s="13">
        <f>MIN(F2:F252)</f>
        <v>0</v>
      </c>
      <c r="O13" s="13">
        <f>MIN(G2:G252)</f>
        <v>0</v>
      </c>
    </row>
    <row r="14" spans="1:15">
      <c r="A14" s="12">
        <f>'1_Precios'!A14</f>
        <v>0</v>
      </c>
      <c r="B14" s="13">
        <f>'1_Precios'!B14/'1_Precios'!B13-1</f>
        <v>0</v>
      </c>
      <c r="C14" s="13">
        <f>'1_Precios'!C14/'1_Precios'!C13-1</f>
        <v>0</v>
      </c>
      <c r="D14" s="13">
        <f>'1_Precios'!D14/'1_Precios'!D13-1</f>
        <v>0</v>
      </c>
      <c r="E14" s="13">
        <f>'1_Precios'!E14/'1_Precios'!E13-1</f>
        <v>0</v>
      </c>
      <c r="F14" s="13">
        <f>'1_Precios'!F14/'1_Precios'!F13-1</f>
        <v>0</v>
      </c>
      <c r="G14" s="13">
        <f>'1_Precios'!G14/'1_Precios'!G13-1</f>
        <v>0</v>
      </c>
      <c r="I14" s="14" t="s">
        <v>65</v>
      </c>
      <c r="J14" s="13">
        <f>COUNTIF(B2:B252,"&gt;0")/COUNT(B2:B252)</f>
        <v>0</v>
      </c>
      <c r="K14" s="13">
        <f>COUNTIF(C2:C252,"&gt;0")/COUNT(C2:C252)</f>
        <v>0</v>
      </c>
      <c r="L14" s="13">
        <f>COUNTIF(D2:D252,"&gt;0")/COUNT(D2:D252)</f>
        <v>0</v>
      </c>
      <c r="M14" s="13">
        <f>COUNTIF(E2:E252,"&gt;0")/COUNT(E2:E252)</f>
        <v>0</v>
      </c>
      <c r="N14" s="13">
        <f>COUNTIF(F2:F252,"&gt;0")/COUNT(F2:F252)</f>
        <v>0</v>
      </c>
      <c r="O14" s="13">
        <f>COUNTIF(G2:G252,"&gt;0")/COUNT(G2:G252)</f>
        <v>0</v>
      </c>
    </row>
    <row r="15" spans="1:15">
      <c r="A15" s="12">
        <f>'1_Precios'!A15</f>
        <v>0</v>
      </c>
      <c r="B15" s="13">
        <f>'1_Precios'!B15/'1_Precios'!B14-1</f>
        <v>0</v>
      </c>
      <c r="C15" s="13">
        <f>'1_Precios'!C15/'1_Precios'!C14-1</f>
        <v>0</v>
      </c>
      <c r="D15" s="13">
        <f>'1_Precios'!D15/'1_Precios'!D14-1</f>
        <v>0</v>
      </c>
      <c r="E15" s="13">
        <f>'1_Precios'!E15/'1_Precios'!E14-1</f>
        <v>0</v>
      </c>
      <c r="F15" s="13">
        <f>'1_Precios'!F15/'1_Precios'!F14-1</f>
        <v>0</v>
      </c>
      <c r="G15" s="13">
        <f>'1_Precios'!G15/'1_Precios'!G14-1</f>
        <v>0</v>
      </c>
      <c r="I15" s="14" t="s">
        <v>66</v>
      </c>
      <c r="J15" s="20">
        <f>SKEW(B2:B252)</f>
        <v>0</v>
      </c>
      <c r="K15" s="20">
        <f>SKEW(C2:C252)</f>
        <v>0</v>
      </c>
      <c r="L15" s="20">
        <f>SKEW(D2:D252)</f>
        <v>0</v>
      </c>
      <c r="M15" s="20">
        <f>SKEW(E2:E252)</f>
        <v>0</v>
      </c>
      <c r="N15" s="20">
        <f>SKEW(F2:F252)</f>
        <v>0</v>
      </c>
      <c r="O15" s="20">
        <f>SKEW(G2:G252)</f>
        <v>0</v>
      </c>
    </row>
    <row r="16" spans="1:15">
      <c r="A16" s="12">
        <f>'1_Precios'!A16</f>
        <v>0</v>
      </c>
      <c r="B16" s="13">
        <f>'1_Precios'!B16/'1_Precios'!B15-1</f>
        <v>0</v>
      </c>
      <c r="C16" s="13">
        <f>'1_Precios'!C16/'1_Precios'!C15-1</f>
        <v>0</v>
      </c>
      <c r="D16" s="13">
        <f>'1_Precios'!D16/'1_Precios'!D15-1</f>
        <v>0</v>
      </c>
      <c r="E16" s="13">
        <f>'1_Precios'!E16/'1_Precios'!E15-1</f>
        <v>0</v>
      </c>
      <c r="F16" s="13">
        <f>'1_Precios'!F16/'1_Precios'!F15-1</f>
        <v>0</v>
      </c>
      <c r="G16" s="13">
        <f>'1_Precios'!G16/'1_Precios'!G15-1</f>
        <v>0</v>
      </c>
      <c r="I16" s="14" t="s">
        <v>67</v>
      </c>
      <c r="J16" s="20">
        <f>KURT(B2:B252)</f>
        <v>0</v>
      </c>
      <c r="K16" s="20">
        <f>KURT(C2:C252)</f>
        <v>0</v>
      </c>
      <c r="L16" s="20">
        <f>KURT(D2:D252)</f>
        <v>0</v>
      </c>
      <c r="M16" s="20">
        <f>KURT(E2:E252)</f>
        <v>0</v>
      </c>
      <c r="N16" s="20">
        <f>KURT(F2:F252)</f>
        <v>0</v>
      </c>
      <c r="O16" s="20">
        <f>KURT(G2:G252)</f>
        <v>0</v>
      </c>
    </row>
    <row r="17" spans="1:9">
      <c r="A17" s="12">
        <f>'1_Precios'!A17</f>
        <v>0</v>
      </c>
      <c r="B17" s="13">
        <f>'1_Precios'!B17/'1_Precios'!B16-1</f>
        <v>0</v>
      </c>
      <c r="C17" s="13">
        <f>'1_Precios'!C17/'1_Precios'!C16-1</f>
        <v>0</v>
      </c>
      <c r="D17" s="13">
        <f>'1_Precios'!D17/'1_Precios'!D16-1</f>
        <v>0</v>
      </c>
      <c r="E17" s="13">
        <f>'1_Precios'!E17/'1_Precios'!E16-1</f>
        <v>0</v>
      </c>
      <c r="F17" s="13">
        <f>'1_Precios'!F17/'1_Precios'!F16-1</f>
        <v>0</v>
      </c>
      <c r="G17" s="13">
        <f>'1_Precios'!G17/'1_Precios'!G16-1</f>
        <v>0</v>
      </c>
    </row>
    <row r="18" spans="1:9">
      <c r="A18" s="12">
        <f>'1_Precios'!A18</f>
        <v>0</v>
      </c>
      <c r="B18" s="13">
        <f>'1_Precios'!B18/'1_Precios'!B17-1</f>
        <v>0</v>
      </c>
      <c r="C18" s="13">
        <f>'1_Precios'!C18/'1_Precios'!C17-1</f>
        <v>0</v>
      </c>
      <c r="D18" s="13">
        <f>'1_Precios'!D18/'1_Precios'!D17-1</f>
        <v>0</v>
      </c>
      <c r="E18" s="13">
        <f>'1_Precios'!E18/'1_Precios'!E17-1</f>
        <v>0</v>
      </c>
      <c r="F18" s="13">
        <f>'1_Precios'!F18/'1_Precios'!F17-1</f>
        <v>0</v>
      </c>
      <c r="G18" s="13">
        <f>'1_Precios'!G18/'1_Precios'!G17-1</f>
        <v>0</v>
      </c>
      <c r="I18" s="3" t="s">
        <v>68</v>
      </c>
    </row>
    <row r="19" spans="1:9" ht="60" customHeight="1">
      <c r="A19" s="12">
        <f>'1_Precios'!A19</f>
        <v>0</v>
      </c>
      <c r="B19" s="13">
        <f>'1_Precios'!B19/'1_Precios'!B18-1</f>
        <v>0</v>
      </c>
      <c r="C19" s="13">
        <f>'1_Precios'!C19/'1_Precios'!C18-1</f>
        <v>0</v>
      </c>
      <c r="D19" s="13">
        <f>'1_Precios'!D19/'1_Precios'!D18-1</f>
        <v>0</v>
      </c>
      <c r="E19" s="13">
        <f>'1_Precios'!E19/'1_Precios'!E18-1</f>
        <v>0</v>
      </c>
      <c r="F19" s="13">
        <f>'1_Precios'!F19/'1_Precios'!F18-1</f>
        <v>0</v>
      </c>
      <c r="G19" s="13">
        <f>'1_Precios'!G19/'1_Precios'!G18-1</f>
        <v>0</v>
      </c>
      <c r="I19" s="16" t="s">
        <v>69</v>
      </c>
    </row>
    <row r="20" spans="1:9">
      <c r="A20" s="12">
        <f>'1_Precios'!A20</f>
        <v>0</v>
      </c>
      <c r="B20" s="13">
        <f>'1_Precios'!B20/'1_Precios'!B19-1</f>
        <v>0</v>
      </c>
      <c r="C20" s="13">
        <f>'1_Precios'!C20/'1_Precios'!C19-1</f>
        <v>0</v>
      </c>
      <c r="D20" s="13">
        <f>'1_Precios'!D20/'1_Precios'!D19-1</f>
        <v>0</v>
      </c>
      <c r="E20" s="13">
        <f>'1_Precios'!E20/'1_Precios'!E19-1</f>
        <v>0</v>
      </c>
      <c r="F20" s="13">
        <f>'1_Precios'!F20/'1_Precios'!F19-1</f>
        <v>0</v>
      </c>
      <c r="G20" s="13">
        <f>'1_Precios'!G20/'1_Precios'!G19-1</f>
        <v>0</v>
      </c>
    </row>
    <row r="21" spans="1:9">
      <c r="A21" s="12">
        <f>'1_Precios'!A21</f>
        <v>0</v>
      </c>
      <c r="B21" s="13">
        <f>'1_Precios'!B21/'1_Precios'!B20-1</f>
        <v>0</v>
      </c>
      <c r="C21" s="13">
        <f>'1_Precios'!C21/'1_Precios'!C20-1</f>
        <v>0</v>
      </c>
      <c r="D21" s="13">
        <f>'1_Precios'!D21/'1_Precios'!D20-1</f>
        <v>0</v>
      </c>
      <c r="E21" s="13">
        <f>'1_Precios'!E21/'1_Precios'!E20-1</f>
        <v>0</v>
      </c>
      <c r="F21" s="13">
        <f>'1_Precios'!F21/'1_Precios'!F20-1</f>
        <v>0</v>
      </c>
      <c r="G21" s="13">
        <f>'1_Precios'!G21/'1_Precios'!G20-1</f>
        <v>0</v>
      </c>
    </row>
    <row r="22" spans="1:9">
      <c r="A22" s="12">
        <f>'1_Precios'!A22</f>
        <v>0</v>
      </c>
      <c r="B22" s="13">
        <f>'1_Precios'!B22/'1_Precios'!B21-1</f>
        <v>0</v>
      </c>
      <c r="C22" s="13">
        <f>'1_Precios'!C22/'1_Precios'!C21-1</f>
        <v>0</v>
      </c>
      <c r="D22" s="13">
        <f>'1_Precios'!D22/'1_Precios'!D21-1</f>
        <v>0</v>
      </c>
      <c r="E22" s="13">
        <f>'1_Precios'!E22/'1_Precios'!E21-1</f>
        <v>0</v>
      </c>
      <c r="F22" s="13">
        <f>'1_Precios'!F22/'1_Precios'!F21-1</f>
        <v>0</v>
      </c>
      <c r="G22" s="13">
        <f>'1_Precios'!G22/'1_Precios'!G21-1</f>
        <v>0</v>
      </c>
    </row>
    <row r="23" spans="1:9">
      <c r="A23" s="12">
        <f>'1_Precios'!A23</f>
        <v>0</v>
      </c>
      <c r="B23" s="13">
        <f>'1_Precios'!B23/'1_Precios'!B22-1</f>
        <v>0</v>
      </c>
      <c r="C23" s="13">
        <f>'1_Precios'!C23/'1_Precios'!C22-1</f>
        <v>0</v>
      </c>
      <c r="D23" s="13">
        <f>'1_Precios'!D23/'1_Precios'!D22-1</f>
        <v>0</v>
      </c>
      <c r="E23" s="13">
        <f>'1_Precios'!E23/'1_Precios'!E22-1</f>
        <v>0</v>
      </c>
      <c r="F23" s="13">
        <f>'1_Precios'!F23/'1_Precios'!F22-1</f>
        <v>0</v>
      </c>
      <c r="G23" s="13">
        <f>'1_Precios'!G23/'1_Precios'!G22-1</f>
        <v>0</v>
      </c>
    </row>
    <row r="24" spans="1:9">
      <c r="A24" s="12">
        <f>'1_Precios'!A24</f>
        <v>0</v>
      </c>
      <c r="B24" s="13">
        <f>'1_Precios'!B24/'1_Precios'!B23-1</f>
        <v>0</v>
      </c>
      <c r="C24" s="13">
        <f>'1_Precios'!C24/'1_Precios'!C23-1</f>
        <v>0</v>
      </c>
      <c r="D24" s="13">
        <f>'1_Precios'!D24/'1_Precios'!D23-1</f>
        <v>0</v>
      </c>
      <c r="E24" s="13">
        <f>'1_Precios'!E24/'1_Precios'!E23-1</f>
        <v>0</v>
      </c>
      <c r="F24" s="13">
        <f>'1_Precios'!F24/'1_Precios'!F23-1</f>
        <v>0</v>
      </c>
      <c r="G24" s="13">
        <f>'1_Precios'!G24/'1_Precios'!G23-1</f>
        <v>0</v>
      </c>
    </row>
    <row r="25" spans="1:9">
      <c r="A25" s="12">
        <f>'1_Precios'!A25</f>
        <v>0</v>
      </c>
      <c r="B25" s="13">
        <f>'1_Precios'!B25/'1_Precios'!B24-1</f>
        <v>0</v>
      </c>
      <c r="C25" s="13">
        <f>'1_Precios'!C25/'1_Precios'!C24-1</f>
        <v>0</v>
      </c>
      <c r="D25" s="13">
        <f>'1_Precios'!D25/'1_Precios'!D24-1</f>
        <v>0</v>
      </c>
      <c r="E25" s="13">
        <f>'1_Precios'!E25/'1_Precios'!E24-1</f>
        <v>0</v>
      </c>
      <c r="F25" s="13">
        <f>'1_Precios'!F25/'1_Precios'!F24-1</f>
        <v>0</v>
      </c>
      <c r="G25" s="13">
        <f>'1_Precios'!G25/'1_Precios'!G24-1</f>
        <v>0</v>
      </c>
    </row>
    <row r="26" spans="1:9">
      <c r="A26" s="12">
        <f>'1_Precios'!A26</f>
        <v>0</v>
      </c>
      <c r="B26" s="13">
        <f>'1_Precios'!B26/'1_Precios'!B25-1</f>
        <v>0</v>
      </c>
      <c r="C26" s="13">
        <f>'1_Precios'!C26/'1_Precios'!C25-1</f>
        <v>0</v>
      </c>
      <c r="D26" s="13">
        <f>'1_Precios'!D26/'1_Precios'!D25-1</f>
        <v>0</v>
      </c>
      <c r="E26" s="13">
        <f>'1_Precios'!E26/'1_Precios'!E25-1</f>
        <v>0</v>
      </c>
      <c r="F26" s="13">
        <f>'1_Precios'!F26/'1_Precios'!F25-1</f>
        <v>0</v>
      </c>
      <c r="G26" s="13">
        <f>'1_Precios'!G26/'1_Precios'!G25-1</f>
        <v>0</v>
      </c>
    </row>
    <row r="27" spans="1:9">
      <c r="A27" s="12">
        <f>'1_Precios'!A27</f>
        <v>0</v>
      </c>
      <c r="B27" s="13">
        <f>'1_Precios'!B27/'1_Precios'!B26-1</f>
        <v>0</v>
      </c>
      <c r="C27" s="13">
        <f>'1_Precios'!C27/'1_Precios'!C26-1</f>
        <v>0</v>
      </c>
      <c r="D27" s="13">
        <f>'1_Precios'!D27/'1_Precios'!D26-1</f>
        <v>0</v>
      </c>
      <c r="E27" s="13">
        <f>'1_Precios'!E27/'1_Precios'!E26-1</f>
        <v>0</v>
      </c>
      <c r="F27" s="13">
        <f>'1_Precios'!F27/'1_Precios'!F26-1</f>
        <v>0</v>
      </c>
      <c r="G27" s="13">
        <f>'1_Precios'!G27/'1_Precios'!G26-1</f>
        <v>0</v>
      </c>
    </row>
    <row r="28" spans="1:9">
      <c r="A28" s="12">
        <f>'1_Precios'!A28</f>
        <v>0</v>
      </c>
      <c r="B28" s="13">
        <f>'1_Precios'!B28/'1_Precios'!B27-1</f>
        <v>0</v>
      </c>
      <c r="C28" s="13">
        <f>'1_Precios'!C28/'1_Precios'!C27-1</f>
        <v>0</v>
      </c>
      <c r="D28" s="13">
        <f>'1_Precios'!D28/'1_Precios'!D27-1</f>
        <v>0</v>
      </c>
      <c r="E28" s="13">
        <f>'1_Precios'!E28/'1_Precios'!E27-1</f>
        <v>0</v>
      </c>
      <c r="F28" s="13">
        <f>'1_Precios'!F28/'1_Precios'!F27-1</f>
        <v>0</v>
      </c>
      <c r="G28" s="13">
        <f>'1_Precios'!G28/'1_Precios'!G27-1</f>
        <v>0</v>
      </c>
    </row>
    <row r="29" spans="1:9">
      <c r="A29" s="12">
        <f>'1_Precios'!A29</f>
        <v>0</v>
      </c>
      <c r="B29" s="13">
        <f>'1_Precios'!B29/'1_Precios'!B28-1</f>
        <v>0</v>
      </c>
      <c r="C29" s="13">
        <f>'1_Precios'!C29/'1_Precios'!C28-1</f>
        <v>0</v>
      </c>
      <c r="D29" s="13">
        <f>'1_Precios'!D29/'1_Precios'!D28-1</f>
        <v>0</v>
      </c>
      <c r="E29" s="13">
        <f>'1_Precios'!E29/'1_Precios'!E28-1</f>
        <v>0</v>
      </c>
      <c r="F29" s="13">
        <f>'1_Precios'!F29/'1_Precios'!F28-1</f>
        <v>0</v>
      </c>
      <c r="G29" s="13">
        <f>'1_Precios'!G29/'1_Precios'!G28-1</f>
        <v>0</v>
      </c>
    </row>
    <row r="30" spans="1:9">
      <c r="A30" s="12">
        <f>'1_Precios'!A30</f>
        <v>0</v>
      </c>
      <c r="B30" s="13">
        <f>'1_Precios'!B30/'1_Precios'!B29-1</f>
        <v>0</v>
      </c>
      <c r="C30" s="13">
        <f>'1_Precios'!C30/'1_Precios'!C29-1</f>
        <v>0</v>
      </c>
      <c r="D30" s="13">
        <f>'1_Precios'!D30/'1_Precios'!D29-1</f>
        <v>0</v>
      </c>
      <c r="E30" s="13">
        <f>'1_Precios'!E30/'1_Precios'!E29-1</f>
        <v>0</v>
      </c>
      <c r="F30" s="13">
        <f>'1_Precios'!F30/'1_Precios'!F29-1</f>
        <v>0</v>
      </c>
      <c r="G30" s="13">
        <f>'1_Precios'!G30/'1_Precios'!G29-1</f>
        <v>0</v>
      </c>
    </row>
    <row r="31" spans="1:9">
      <c r="A31" s="12">
        <f>'1_Precios'!A31</f>
        <v>0</v>
      </c>
      <c r="B31" s="13">
        <f>'1_Precios'!B31/'1_Precios'!B30-1</f>
        <v>0</v>
      </c>
      <c r="C31" s="13">
        <f>'1_Precios'!C31/'1_Precios'!C30-1</f>
        <v>0</v>
      </c>
      <c r="D31" s="13">
        <f>'1_Precios'!D31/'1_Precios'!D30-1</f>
        <v>0</v>
      </c>
      <c r="E31" s="13">
        <f>'1_Precios'!E31/'1_Precios'!E30-1</f>
        <v>0</v>
      </c>
      <c r="F31" s="13">
        <f>'1_Precios'!F31/'1_Precios'!F30-1</f>
        <v>0</v>
      </c>
      <c r="G31" s="13">
        <f>'1_Precios'!G31/'1_Precios'!G30-1</f>
        <v>0</v>
      </c>
    </row>
    <row r="32" spans="1:9">
      <c r="A32" s="12">
        <f>'1_Precios'!A32</f>
        <v>0</v>
      </c>
      <c r="B32" s="13">
        <f>'1_Precios'!B32/'1_Precios'!B31-1</f>
        <v>0</v>
      </c>
      <c r="C32" s="13">
        <f>'1_Precios'!C32/'1_Precios'!C31-1</f>
        <v>0</v>
      </c>
      <c r="D32" s="13">
        <f>'1_Precios'!D32/'1_Precios'!D31-1</f>
        <v>0</v>
      </c>
      <c r="E32" s="13">
        <f>'1_Precios'!E32/'1_Precios'!E31-1</f>
        <v>0</v>
      </c>
      <c r="F32" s="13">
        <f>'1_Precios'!F32/'1_Precios'!F31-1</f>
        <v>0</v>
      </c>
      <c r="G32" s="13">
        <f>'1_Precios'!G32/'1_Precios'!G31-1</f>
        <v>0</v>
      </c>
    </row>
    <row r="33" spans="1:7">
      <c r="A33" s="12">
        <f>'1_Precios'!A33</f>
        <v>0</v>
      </c>
      <c r="B33" s="13">
        <f>'1_Precios'!B33/'1_Precios'!B32-1</f>
        <v>0</v>
      </c>
      <c r="C33" s="13">
        <f>'1_Precios'!C33/'1_Precios'!C32-1</f>
        <v>0</v>
      </c>
      <c r="D33" s="13">
        <f>'1_Precios'!D33/'1_Precios'!D32-1</f>
        <v>0</v>
      </c>
      <c r="E33" s="13">
        <f>'1_Precios'!E33/'1_Precios'!E32-1</f>
        <v>0</v>
      </c>
      <c r="F33" s="13">
        <f>'1_Precios'!F33/'1_Precios'!F32-1</f>
        <v>0</v>
      </c>
      <c r="G33" s="13">
        <f>'1_Precios'!G33/'1_Precios'!G32-1</f>
        <v>0</v>
      </c>
    </row>
    <row r="34" spans="1:7">
      <c r="A34" s="12">
        <f>'1_Precios'!A34</f>
        <v>0</v>
      </c>
      <c r="B34" s="13">
        <f>'1_Precios'!B34/'1_Precios'!B33-1</f>
        <v>0</v>
      </c>
      <c r="C34" s="13">
        <f>'1_Precios'!C34/'1_Precios'!C33-1</f>
        <v>0</v>
      </c>
      <c r="D34" s="13">
        <f>'1_Precios'!D34/'1_Precios'!D33-1</f>
        <v>0</v>
      </c>
      <c r="E34" s="13">
        <f>'1_Precios'!E34/'1_Precios'!E33-1</f>
        <v>0</v>
      </c>
      <c r="F34" s="13">
        <f>'1_Precios'!F34/'1_Precios'!F33-1</f>
        <v>0</v>
      </c>
      <c r="G34" s="13">
        <f>'1_Precios'!G34/'1_Precios'!G33-1</f>
        <v>0</v>
      </c>
    </row>
    <row r="35" spans="1:7">
      <c r="A35" s="12">
        <f>'1_Precios'!A35</f>
        <v>0</v>
      </c>
      <c r="B35" s="13">
        <f>'1_Precios'!B35/'1_Precios'!B34-1</f>
        <v>0</v>
      </c>
      <c r="C35" s="13">
        <f>'1_Precios'!C35/'1_Precios'!C34-1</f>
        <v>0</v>
      </c>
      <c r="D35" s="13">
        <f>'1_Precios'!D35/'1_Precios'!D34-1</f>
        <v>0</v>
      </c>
      <c r="E35" s="13">
        <f>'1_Precios'!E35/'1_Precios'!E34-1</f>
        <v>0</v>
      </c>
      <c r="F35" s="13">
        <f>'1_Precios'!F35/'1_Precios'!F34-1</f>
        <v>0</v>
      </c>
      <c r="G35" s="13">
        <f>'1_Precios'!G35/'1_Precios'!G34-1</f>
        <v>0</v>
      </c>
    </row>
    <row r="36" spans="1:7">
      <c r="A36" s="12">
        <f>'1_Precios'!A36</f>
        <v>0</v>
      </c>
      <c r="B36" s="13">
        <f>'1_Precios'!B36/'1_Precios'!B35-1</f>
        <v>0</v>
      </c>
      <c r="C36" s="13">
        <f>'1_Precios'!C36/'1_Precios'!C35-1</f>
        <v>0</v>
      </c>
      <c r="D36" s="13">
        <f>'1_Precios'!D36/'1_Precios'!D35-1</f>
        <v>0</v>
      </c>
      <c r="E36" s="13">
        <f>'1_Precios'!E36/'1_Precios'!E35-1</f>
        <v>0</v>
      </c>
      <c r="F36" s="13">
        <f>'1_Precios'!F36/'1_Precios'!F35-1</f>
        <v>0</v>
      </c>
      <c r="G36" s="13">
        <f>'1_Precios'!G36/'1_Precios'!G35-1</f>
        <v>0</v>
      </c>
    </row>
    <row r="37" spans="1:7">
      <c r="A37" s="12">
        <f>'1_Precios'!A37</f>
        <v>0</v>
      </c>
      <c r="B37" s="13">
        <f>'1_Precios'!B37/'1_Precios'!B36-1</f>
        <v>0</v>
      </c>
      <c r="C37" s="13">
        <f>'1_Precios'!C37/'1_Precios'!C36-1</f>
        <v>0</v>
      </c>
      <c r="D37" s="13">
        <f>'1_Precios'!D37/'1_Precios'!D36-1</f>
        <v>0</v>
      </c>
      <c r="E37" s="13">
        <f>'1_Precios'!E37/'1_Precios'!E36-1</f>
        <v>0</v>
      </c>
      <c r="F37" s="13">
        <f>'1_Precios'!F37/'1_Precios'!F36-1</f>
        <v>0</v>
      </c>
      <c r="G37" s="13">
        <f>'1_Precios'!G37/'1_Precios'!G36-1</f>
        <v>0</v>
      </c>
    </row>
    <row r="38" spans="1:7">
      <c r="A38" s="12">
        <f>'1_Precios'!A38</f>
        <v>0</v>
      </c>
      <c r="B38" s="13">
        <f>'1_Precios'!B38/'1_Precios'!B37-1</f>
        <v>0</v>
      </c>
      <c r="C38" s="13">
        <f>'1_Precios'!C38/'1_Precios'!C37-1</f>
        <v>0</v>
      </c>
      <c r="D38" s="13">
        <f>'1_Precios'!D38/'1_Precios'!D37-1</f>
        <v>0</v>
      </c>
      <c r="E38" s="13">
        <f>'1_Precios'!E38/'1_Precios'!E37-1</f>
        <v>0</v>
      </c>
      <c r="F38" s="13">
        <f>'1_Precios'!F38/'1_Precios'!F37-1</f>
        <v>0</v>
      </c>
      <c r="G38" s="13">
        <f>'1_Precios'!G38/'1_Precios'!G37-1</f>
        <v>0</v>
      </c>
    </row>
    <row r="39" spans="1:7">
      <c r="A39" s="12">
        <f>'1_Precios'!A39</f>
        <v>0</v>
      </c>
      <c r="B39" s="13">
        <f>'1_Precios'!B39/'1_Precios'!B38-1</f>
        <v>0</v>
      </c>
      <c r="C39" s="13">
        <f>'1_Precios'!C39/'1_Precios'!C38-1</f>
        <v>0</v>
      </c>
      <c r="D39" s="13">
        <f>'1_Precios'!D39/'1_Precios'!D38-1</f>
        <v>0</v>
      </c>
      <c r="E39" s="13">
        <f>'1_Precios'!E39/'1_Precios'!E38-1</f>
        <v>0</v>
      </c>
      <c r="F39" s="13">
        <f>'1_Precios'!F39/'1_Precios'!F38-1</f>
        <v>0</v>
      </c>
      <c r="G39" s="13">
        <f>'1_Precios'!G39/'1_Precios'!G38-1</f>
        <v>0</v>
      </c>
    </row>
    <row r="40" spans="1:7">
      <c r="A40" s="12">
        <f>'1_Precios'!A40</f>
        <v>0</v>
      </c>
      <c r="B40" s="13">
        <f>'1_Precios'!B40/'1_Precios'!B39-1</f>
        <v>0</v>
      </c>
      <c r="C40" s="13">
        <f>'1_Precios'!C40/'1_Precios'!C39-1</f>
        <v>0</v>
      </c>
      <c r="D40" s="13">
        <f>'1_Precios'!D40/'1_Precios'!D39-1</f>
        <v>0</v>
      </c>
      <c r="E40" s="13">
        <f>'1_Precios'!E40/'1_Precios'!E39-1</f>
        <v>0</v>
      </c>
      <c r="F40" s="13">
        <f>'1_Precios'!F40/'1_Precios'!F39-1</f>
        <v>0</v>
      </c>
      <c r="G40" s="13">
        <f>'1_Precios'!G40/'1_Precios'!G39-1</f>
        <v>0</v>
      </c>
    </row>
    <row r="41" spans="1:7">
      <c r="A41" s="12">
        <f>'1_Precios'!A41</f>
        <v>0</v>
      </c>
      <c r="B41" s="13">
        <f>'1_Precios'!B41/'1_Precios'!B40-1</f>
        <v>0</v>
      </c>
      <c r="C41" s="13">
        <f>'1_Precios'!C41/'1_Precios'!C40-1</f>
        <v>0</v>
      </c>
      <c r="D41" s="13">
        <f>'1_Precios'!D41/'1_Precios'!D40-1</f>
        <v>0</v>
      </c>
      <c r="E41" s="13">
        <f>'1_Precios'!E41/'1_Precios'!E40-1</f>
        <v>0</v>
      </c>
      <c r="F41" s="13">
        <f>'1_Precios'!F41/'1_Precios'!F40-1</f>
        <v>0</v>
      </c>
      <c r="G41" s="13">
        <f>'1_Precios'!G41/'1_Precios'!G40-1</f>
        <v>0</v>
      </c>
    </row>
    <row r="42" spans="1:7">
      <c r="A42" s="12">
        <f>'1_Precios'!A42</f>
        <v>0</v>
      </c>
      <c r="B42" s="13">
        <f>'1_Precios'!B42/'1_Precios'!B41-1</f>
        <v>0</v>
      </c>
      <c r="C42" s="13">
        <f>'1_Precios'!C42/'1_Precios'!C41-1</f>
        <v>0</v>
      </c>
      <c r="D42" s="13">
        <f>'1_Precios'!D42/'1_Precios'!D41-1</f>
        <v>0</v>
      </c>
      <c r="E42" s="13">
        <f>'1_Precios'!E42/'1_Precios'!E41-1</f>
        <v>0</v>
      </c>
      <c r="F42" s="13">
        <f>'1_Precios'!F42/'1_Precios'!F41-1</f>
        <v>0</v>
      </c>
      <c r="G42" s="13">
        <f>'1_Precios'!G42/'1_Precios'!G41-1</f>
        <v>0</v>
      </c>
    </row>
    <row r="43" spans="1:7">
      <c r="A43" s="12">
        <f>'1_Precios'!A43</f>
        <v>0</v>
      </c>
      <c r="B43" s="13">
        <f>'1_Precios'!B43/'1_Precios'!B42-1</f>
        <v>0</v>
      </c>
      <c r="C43" s="13">
        <f>'1_Precios'!C43/'1_Precios'!C42-1</f>
        <v>0</v>
      </c>
      <c r="D43" s="13">
        <f>'1_Precios'!D43/'1_Precios'!D42-1</f>
        <v>0</v>
      </c>
      <c r="E43" s="13">
        <f>'1_Precios'!E43/'1_Precios'!E42-1</f>
        <v>0</v>
      </c>
      <c r="F43" s="13">
        <f>'1_Precios'!F43/'1_Precios'!F42-1</f>
        <v>0</v>
      </c>
      <c r="G43" s="13">
        <f>'1_Precios'!G43/'1_Precios'!G42-1</f>
        <v>0</v>
      </c>
    </row>
    <row r="44" spans="1:7">
      <c r="A44" s="12">
        <f>'1_Precios'!A44</f>
        <v>0</v>
      </c>
      <c r="B44" s="13">
        <f>'1_Precios'!B44/'1_Precios'!B43-1</f>
        <v>0</v>
      </c>
      <c r="C44" s="13">
        <f>'1_Precios'!C44/'1_Precios'!C43-1</f>
        <v>0</v>
      </c>
      <c r="D44" s="13">
        <f>'1_Precios'!D44/'1_Precios'!D43-1</f>
        <v>0</v>
      </c>
      <c r="E44" s="13">
        <f>'1_Precios'!E44/'1_Precios'!E43-1</f>
        <v>0</v>
      </c>
      <c r="F44" s="13">
        <f>'1_Precios'!F44/'1_Precios'!F43-1</f>
        <v>0</v>
      </c>
      <c r="G44" s="13">
        <f>'1_Precios'!G44/'1_Precios'!G43-1</f>
        <v>0</v>
      </c>
    </row>
    <row r="45" spans="1:7">
      <c r="A45" s="12">
        <f>'1_Precios'!A45</f>
        <v>0</v>
      </c>
      <c r="B45" s="13">
        <f>'1_Precios'!B45/'1_Precios'!B44-1</f>
        <v>0</v>
      </c>
      <c r="C45" s="13">
        <f>'1_Precios'!C45/'1_Precios'!C44-1</f>
        <v>0</v>
      </c>
      <c r="D45" s="13">
        <f>'1_Precios'!D45/'1_Precios'!D44-1</f>
        <v>0</v>
      </c>
      <c r="E45" s="13">
        <f>'1_Precios'!E45/'1_Precios'!E44-1</f>
        <v>0</v>
      </c>
      <c r="F45" s="13">
        <f>'1_Precios'!F45/'1_Precios'!F44-1</f>
        <v>0</v>
      </c>
      <c r="G45" s="13">
        <f>'1_Precios'!G45/'1_Precios'!G44-1</f>
        <v>0</v>
      </c>
    </row>
    <row r="46" spans="1:7">
      <c r="A46" s="12">
        <f>'1_Precios'!A46</f>
        <v>0</v>
      </c>
      <c r="B46" s="13">
        <f>'1_Precios'!B46/'1_Precios'!B45-1</f>
        <v>0</v>
      </c>
      <c r="C46" s="13">
        <f>'1_Precios'!C46/'1_Precios'!C45-1</f>
        <v>0</v>
      </c>
      <c r="D46" s="13">
        <f>'1_Precios'!D46/'1_Precios'!D45-1</f>
        <v>0</v>
      </c>
      <c r="E46" s="13">
        <f>'1_Precios'!E46/'1_Precios'!E45-1</f>
        <v>0</v>
      </c>
      <c r="F46" s="13">
        <f>'1_Precios'!F46/'1_Precios'!F45-1</f>
        <v>0</v>
      </c>
      <c r="G46" s="13">
        <f>'1_Precios'!G46/'1_Precios'!G45-1</f>
        <v>0</v>
      </c>
    </row>
    <row r="47" spans="1:7">
      <c r="A47" s="12">
        <f>'1_Precios'!A47</f>
        <v>0</v>
      </c>
      <c r="B47" s="13">
        <f>'1_Precios'!B47/'1_Precios'!B46-1</f>
        <v>0</v>
      </c>
      <c r="C47" s="13">
        <f>'1_Precios'!C47/'1_Precios'!C46-1</f>
        <v>0</v>
      </c>
      <c r="D47" s="13">
        <f>'1_Precios'!D47/'1_Precios'!D46-1</f>
        <v>0</v>
      </c>
      <c r="E47" s="13">
        <f>'1_Precios'!E47/'1_Precios'!E46-1</f>
        <v>0</v>
      </c>
      <c r="F47" s="13">
        <f>'1_Precios'!F47/'1_Precios'!F46-1</f>
        <v>0</v>
      </c>
      <c r="G47" s="13">
        <f>'1_Precios'!G47/'1_Precios'!G46-1</f>
        <v>0</v>
      </c>
    </row>
    <row r="48" spans="1:7">
      <c r="A48" s="12">
        <f>'1_Precios'!A48</f>
        <v>0</v>
      </c>
      <c r="B48" s="13">
        <f>'1_Precios'!B48/'1_Precios'!B47-1</f>
        <v>0</v>
      </c>
      <c r="C48" s="13">
        <f>'1_Precios'!C48/'1_Precios'!C47-1</f>
        <v>0</v>
      </c>
      <c r="D48" s="13">
        <f>'1_Precios'!D48/'1_Precios'!D47-1</f>
        <v>0</v>
      </c>
      <c r="E48" s="13">
        <f>'1_Precios'!E48/'1_Precios'!E47-1</f>
        <v>0</v>
      </c>
      <c r="F48" s="13">
        <f>'1_Precios'!F48/'1_Precios'!F47-1</f>
        <v>0</v>
      </c>
      <c r="G48" s="13">
        <f>'1_Precios'!G48/'1_Precios'!G47-1</f>
        <v>0</v>
      </c>
    </row>
    <row r="49" spans="1:7">
      <c r="A49" s="12">
        <f>'1_Precios'!A49</f>
        <v>0</v>
      </c>
      <c r="B49" s="13">
        <f>'1_Precios'!B49/'1_Precios'!B48-1</f>
        <v>0</v>
      </c>
      <c r="C49" s="13">
        <f>'1_Precios'!C49/'1_Precios'!C48-1</f>
        <v>0</v>
      </c>
      <c r="D49" s="13">
        <f>'1_Precios'!D49/'1_Precios'!D48-1</f>
        <v>0</v>
      </c>
      <c r="E49" s="13">
        <f>'1_Precios'!E49/'1_Precios'!E48-1</f>
        <v>0</v>
      </c>
      <c r="F49" s="13">
        <f>'1_Precios'!F49/'1_Precios'!F48-1</f>
        <v>0</v>
      </c>
      <c r="G49" s="13">
        <f>'1_Precios'!G49/'1_Precios'!G48-1</f>
        <v>0</v>
      </c>
    </row>
    <row r="50" spans="1:7">
      <c r="A50" s="12">
        <f>'1_Precios'!A50</f>
        <v>0</v>
      </c>
      <c r="B50" s="13">
        <f>'1_Precios'!B50/'1_Precios'!B49-1</f>
        <v>0</v>
      </c>
      <c r="C50" s="13">
        <f>'1_Precios'!C50/'1_Precios'!C49-1</f>
        <v>0</v>
      </c>
      <c r="D50" s="13">
        <f>'1_Precios'!D50/'1_Precios'!D49-1</f>
        <v>0</v>
      </c>
      <c r="E50" s="13">
        <f>'1_Precios'!E50/'1_Precios'!E49-1</f>
        <v>0</v>
      </c>
      <c r="F50" s="13">
        <f>'1_Precios'!F50/'1_Precios'!F49-1</f>
        <v>0</v>
      </c>
      <c r="G50" s="13">
        <f>'1_Precios'!G50/'1_Precios'!G49-1</f>
        <v>0</v>
      </c>
    </row>
    <row r="51" spans="1:7">
      <c r="A51" s="12">
        <f>'1_Precios'!A51</f>
        <v>0</v>
      </c>
      <c r="B51" s="13">
        <f>'1_Precios'!B51/'1_Precios'!B50-1</f>
        <v>0</v>
      </c>
      <c r="C51" s="13">
        <f>'1_Precios'!C51/'1_Precios'!C50-1</f>
        <v>0</v>
      </c>
      <c r="D51" s="13">
        <f>'1_Precios'!D51/'1_Precios'!D50-1</f>
        <v>0</v>
      </c>
      <c r="E51" s="13">
        <f>'1_Precios'!E51/'1_Precios'!E50-1</f>
        <v>0</v>
      </c>
      <c r="F51" s="13">
        <f>'1_Precios'!F51/'1_Precios'!F50-1</f>
        <v>0</v>
      </c>
      <c r="G51" s="13">
        <f>'1_Precios'!G51/'1_Precios'!G50-1</f>
        <v>0</v>
      </c>
    </row>
    <row r="52" spans="1:7">
      <c r="A52" s="12">
        <f>'1_Precios'!A52</f>
        <v>0</v>
      </c>
      <c r="B52" s="13">
        <f>'1_Precios'!B52/'1_Precios'!B51-1</f>
        <v>0</v>
      </c>
      <c r="C52" s="13">
        <f>'1_Precios'!C52/'1_Precios'!C51-1</f>
        <v>0</v>
      </c>
      <c r="D52" s="13">
        <f>'1_Precios'!D52/'1_Precios'!D51-1</f>
        <v>0</v>
      </c>
      <c r="E52" s="13">
        <f>'1_Precios'!E52/'1_Precios'!E51-1</f>
        <v>0</v>
      </c>
      <c r="F52" s="13">
        <f>'1_Precios'!F52/'1_Precios'!F51-1</f>
        <v>0</v>
      </c>
      <c r="G52" s="13">
        <f>'1_Precios'!G52/'1_Precios'!G51-1</f>
        <v>0</v>
      </c>
    </row>
    <row r="53" spans="1:7">
      <c r="A53" s="12">
        <f>'1_Precios'!A53</f>
        <v>0</v>
      </c>
      <c r="B53" s="13">
        <f>'1_Precios'!B53/'1_Precios'!B52-1</f>
        <v>0</v>
      </c>
      <c r="C53" s="13">
        <f>'1_Precios'!C53/'1_Precios'!C52-1</f>
        <v>0</v>
      </c>
      <c r="D53" s="13">
        <f>'1_Precios'!D53/'1_Precios'!D52-1</f>
        <v>0</v>
      </c>
      <c r="E53" s="13">
        <f>'1_Precios'!E53/'1_Precios'!E52-1</f>
        <v>0</v>
      </c>
      <c r="F53" s="13">
        <f>'1_Precios'!F53/'1_Precios'!F52-1</f>
        <v>0</v>
      </c>
      <c r="G53" s="13">
        <f>'1_Precios'!G53/'1_Precios'!G52-1</f>
        <v>0</v>
      </c>
    </row>
    <row r="54" spans="1:7">
      <c r="A54" s="12">
        <f>'1_Precios'!A54</f>
        <v>0</v>
      </c>
      <c r="B54" s="13">
        <f>'1_Precios'!B54/'1_Precios'!B53-1</f>
        <v>0</v>
      </c>
      <c r="C54" s="13">
        <f>'1_Precios'!C54/'1_Precios'!C53-1</f>
        <v>0</v>
      </c>
      <c r="D54" s="13">
        <f>'1_Precios'!D54/'1_Precios'!D53-1</f>
        <v>0</v>
      </c>
      <c r="E54" s="13">
        <f>'1_Precios'!E54/'1_Precios'!E53-1</f>
        <v>0</v>
      </c>
      <c r="F54" s="13">
        <f>'1_Precios'!F54/'1_Precios'!F53-1</f>
        <v>0</v>
      </c>
      <c r="G54" s="13">
        <f>'1_Precios'!G54/'1_Precios'!G53-1</f>
        <v>0</v>
      </c>
    </row>
    <row r="55" spans="1:7">
      <c r="A55" s="12">
        <f>'1_Precios'!A55</f>
        <v>0</v>
      </c>
      <c r="B55" s="13">
        <f>'1_Precios'!B55/'1_Precios'!B54-1</f>
        <v>0</v>
      </c>
      <c r="C55" s="13">
        <f>'1_Precios'!C55/'1_Precios'!C54-1</f>
        <v>0</v>
      </c>
      <c r="D55" s="13">
        <f>'1_Precios'!D55/'1_Precios'!D54-1</f>
        <v>0</v>
      </c>
      <c r="E55" s="13">
        <f>'1_Precios'!E55/'1_Precios'!E54-1</f>
        <v>0</v>
      </c>
      <c r="F55" s="13">
        <f>'1_Precios'!F55/'1_Precios'!F54-1</f>
        <v>0</v>
      </c>
      <c r="G55" s="13">
        <f>'1_Precios'!G55/'1_Precios'!G54-1</f>
        <v>0</v>
      </c>
    </row>
    <row r="56" spans="1:7">
      <c r="A56" s="12">
        <f>'1_Precios'!A56</f>
        <v>0</v>
      </c>
      <c r="B56" s="13">
        <f>'1_Precios'!B56/'1_Precios'!B55-1</f>
        <v>0</v>
      </c>
      <c r="C56" s="13">
        <f>'1_Precios'!C56/'1_Precios'!C55-1</f>
        <v>0</v>
      </c>
      <c r="D56" s="13">
        <f>'1_Precios'!D56/'1_Precios'!D55-1</f>
        <v>0</v>
      </c>
      <c r="E56" s="13">
        <f>'1_Precios'!E56/'1_Precios'!E55-1</f>
        <v>0</v>
      </c>
      <c r="F56" s="13">
        <f>'1_Precios'!F56/'1_Precios'!F55-1</f>
        <v>0</v>
      </c>
      <c r="G56" s="13">
        <f>'1_Precios'!G56/'1_Precios'!G55-1</f>
        <v>0</v>
      </c>
    </row>
    <row r="57" spans="1:7">
      <c r="A57" s="12">
        <f>'1_Precios'!A57</f>
        <v>0</v>
      </c>
      <c r="B57" s="13">
        <f>'1_Precios'!B57/'1_Precios'!B56-1</f>
        <v>0</v>
      </c>
      <c r="C57" s="13">
        <f>'1_Precios'!C57/'1_Precios'!C56-1</f>
        <v>0</v>
      </c>
      <c r="D57" s="13">
        <f>'1_Precios'!D57/'1_Precios'!D56-1</f>
        <v>0</v>
      </c>
      <c r="E57" s="13">
        <f>'1_Precios'!E57/'1_Precios'!E56-1</f>
        <v>0</v>
      </c>
      <c r="F57" s="13">
        <f>'1_Precios'!F57/'1_Precios'!F56-1</f>
        <v>0</v>
      </c>
      <c r="G57" s="13">
        <f>'1_Precios'!G57/'1_Precios'!G56-1</f>
        <v>0</v>
      </c>
    </row>
    <row r="58" spans="1:7">
      <c r="A58" s="12">
        <f>'1_Precios'!A58</f>
        <v>0</v>
      </c>
      <c r="B58" s="13">
        <f>'1_Precios'!B58/'1_Precios'!B57-1</f>
        <v>0</v>
      </c>
      <c r="C58" s="13">
        <f>'1_Precios'!C58/'1_Precios'!C57-1</f>
        <v>0</v>
      </c>
      <c r="D58" s="13">
        <f>'1_Precios'!D58/'1_Precios'!D57-1</f>
        <v>0</v>
      </c>
      <c r="E58" s="13">
        <f>'1_Precios'!E58/'1_Precios'!E57-1</f>
        <v>0</v>
      </c>
      <c r="F58" s="13">
        <f>'1_Precios'!F58/'1_Precios'!F57-1</f>
        <v>0</v>
      </c>
      <c r="G58" s="13">
        <f>'1_Precios'!G58/'1_Precios'!G57-1</f>
        <v>0</v>
      </c>
    </row>
    <row r="59" spans="1:7">
      <c r="A59" s="12">
        <f>'1_Precios'!A59</f>
        <v>0</v>
      </c>
      <c r="B59" s="13">
        <f>'1_Precios'!B59/'1_Precios'!B58-1</f>
        <v>0</v>
      </c>
      <c r="C59" s="13">
        <f>'1_Precios'!C59/'1_Precios'!C58-1</f>
        <v>0</v>
      </c>
      <c r="D59" s="13">
        <f>'1_Precios'!D59/'1_Precios'!D58-1</f>
        <v>0</v>
      </c>
      <c r="E59" s="13">
        <f>'1_Precios'!E59/'1_Precios'!E58-1</f>
        <v>0</v>
      </c>
      <c r="F59" s="13">
        <f>'1_Precios'!F59/'1_Precios'!F58-1</f>
        <v>0</v>
      </c>
      <c r="G59" s="13">
        <f>'1_Precios'!G59/'1_Precios'!G58-1</f>
        <v>0</v>
      </c>
    </row>
    <row r="60" spans="1:7">
      <c r="A60" s="12">
        <f>'1_Precios'!A60</f>
        <v>0</v>
      </c>
      <c r="B60" s="13">
        <f>'1_Precios'!B60/'1_Precios'!B59-1</f>
        <v>0</v>
      </c>
      <c r="C60" s="13">
        <f>'1_Precios'!C60/'1_Precios'!C59-1</f>
        <v>0</v>
      </c>
      <c r="D60" s="13">
        <f>'1_Precios'!D60/'1_Precios'!D59-1</f>
        <v>0</v>
      </c>
      <c r="E60" s="13">
        <f>'1_Precios'!E60/'1_Precios'!E59-1</f>
        <v>0</v>
      </c>
      <c r="F60" s="13">
        <f>'1_Precios'!F60/'1_Precios'!F59-1</f>
        <v>0</v>
      </c>
      <c r="G60" s="13">
        <f>'1_Precios'!G60/'1_Precios'!G59-1</f>
        <v>0</v>
      </c>
    </row>
    <row r="61" spans="1:7">
      <c r="A61" s="12">
        <f>'1_Precios'!A61</f>
        <v>0</v>
      </c>
      <c r="B61" s="13">
        <f>'1_Precios'!B61/'1_Precios'!B60-1</f>
        <v>0</v>
      </c>
      <c r="C61" s="13">
        <f>'1_Precios'!C61/'1_Precios'!C60-1</f>
        <v>0</v>
      </c>
      <c r="D61" s="13">
        <f>'1_Precios'!D61/'1_Precios'!D60-1</f>
        <v>0</v>
      </c>
      <c r="E61" s="13">
        <f>'1_Precios'!E61/'1_Precios'!E60-1</f>
        <v>0</v>
      </c>
      <c r="F61" s="13">
        <f>'1_Precios'!F61/'1_Precios'!F60-1</f>
        <v>0</v>
      </c>
      <c r="G61" s="13">
        <f>'1_Precios'!G61/'1_Precios'!G60-1</f>
        <v>0</v>
      </c>
    </row>
    <row r="62" spans="1:7">
      <c r="A62" s="12">
        <f>'1_Precios'!A62</f>
        <v>0</v>
      </c>
      <c r="B62" s="13">
        <f>'1_Precios'!B62/'1_Precios'!B61-1</f>
        <v>0</v>
      </c>
      <c r="C62" s="13">
        <f>'1_Precios'!C62/'1_Precios'!C61-1</f>
        <v>0</v>
      </c>
      <c r="D62" s="13">
        <f>'1_Precios'!D62/'1_Precios'!D61-1</f>
        <v>0</v>
      </c>
      <c r="E62" s="13">
        <f>'1_Precios'!E62/'1_Precios'!E61-1</f>
        <v>0</v>
      </c>
      <c r="F62" s="13">
        <f>'1_Precios'!F62/'1_Precios'!F61-1</f>
        <v>0</v>
      </c>
      <c r="G62" s="13">
        <f>'1_Precios'!G62/'1_Precios'!G61-1</f>
        <v>0</v>
      </c>
    </row>
    <row r="63" spans="1:7">
      <c r="A63" s="12">
        <f>'1_Precios'!A63</f>
        <v>0</v>
      </c>
      <c r="B63" s="13">
        <f>'1_Precios'!B63/'1_Precios'!B62-1</f>
        <v>0</v>
      </c>
      <c r="C63" s="13">
        <f>'1_Precios'!C63/'1_Precios'!C62-1</f>
        <v>0</v>
      </c>
      <c r="D63" s="13">
        <f>'1_Precios'!D63/'1_Precios'!D62-1</f>
        <v>0</v>
      </c>
      <c r="E63" s="13">
        <f>'1_Precios'!E63/'1_Precios'!E62-1</f>
        <v>0</v>
      </c>
      <c r="F63" s="13">
        <f>'1_Precios'!F63/'1_Precios'!F62-1</f>
        <v>0</v>
      </c>
      <c r="G63" s="13">
        <f>'1_Precios'!G63/'1_Precios'!G62-1</f>
        <v>0</v>
      </c>
    </row>
    <row r="64" spans="1:7">
      <c r="A64" s="12">
        <f>'1_Precios'!A64</f>
        <v>0</v>
      </c>
      <c r="B64" s="13">
        <f>'1_Precios'!B64/'1_Precios'!B63-1</f>
        <v>0</v>
      </c>
      <c r="C64" s="13">
        <f>'1_Precios'!C64/'1_Precios'!C63-1</f>
        <v>0</v>
      </c>
      <c r="D64" s="13">
        <f>'1_Precios'!D64/'1_Precios'!D63-1</f>
        <v>0</v>
      </c>
      <c r="E64" s="13">
        <f>'1_Precios'!E64/'1_Precios'!E63-1</f>
        <v>0</v>
      </c>
      <c r="F64" s="13">
        <f>'1_Precios'!F64/'1_Precios'!F63-1</f>
        <v>0</v>
      </c>
      <c r="G64" s="13">
        <f>'1_Precios'!G64/'1_Precios'!G63-1</f>
        <v>0</v>
      </c>
    </row>
    <row r="65" spans="1:7">
      <c r="A65" s="12">
        <f>'1_Precios'!A65</f>
        <v>0</v>
      </c>
      <c r="B65" s="13">
        <f>'1_Precios'!B65/'1_Precios'!B64-1</f>
        <v>0</v>
      </c>
      <c r="C65" s="13">
        <f>'1_Precios'!C65/'1_Precios'!C64-1</f>
        <v>0</v>
      </c>
      <c r="D65" s="13">
        <f>'1_Precios'!D65/'1_Precios'!D64-1</f>
        <v>0</v>
      </c>
      <c r="E65" s="13">
        <f>'1_Precios'!E65/'1_Precios'!E64-1</f>
        <v>0</v>
      </c>
      <c r="F65" s="13">
        <f>'1_Precios'!F65/'1_Precios'!F64-1</f>
        <v>0</v>
      </c>
      <c r="G65" s="13">
        <f>'1_Precios'!G65/'1_Precios'!G64-1</f>
        <v>0</v>
      </c>
    </row>
    <row r="66" spans="1:7">
      <c r="A66" s="12">
        <f>'1_Precios'!A66</f>
        <v>0</v>
      </c>
      <c r="B66" s="13">
        <f>'1_Precios'!B66/'1_Precios'!B65-1</f>
        <v>0</v>
      </c>
      <c r="C66" s="13">
        <f>'1_Precios'!C66/'1_Precios'!C65-1</f>
        <v>0</v>
      </c>
      <c r="D66" s="13">
        <f>'1_Precios'!D66/'1_Precios'!D65-1</f>
        <v>0</v>
      </c>
      <c r="E66" s="13">
        <f>'1_Precios'!E66/'1_Precios'!E65-1</f>
        <v>0</v>
      </c>
      <c r="F66" s="13">
        <f>'1_Precios'!F66/'1_Precios'!F65-1</f>
        <v>0</v>
      </c>
      <c r="G66" s="13">
        <f>'1_Precios'!G66/'1_Precios'!G65-1</f>
        <v>0</v>
      </c>
    </row>
    <row r="67" spans="1:7">
      <c r="A67" s="12">
        <f>'1_Precios'!A67</f>
        <v>0</v>
      </c>
      <c r="B67" s="13">
        <f>'1_Precios'!B67/'1_Precios'!B66-1</f>
        <v>0</v>
      </c>
      <c r="C67" s="13">
        <f>'1_Precios'!C67/'1_Precios'!C66-1</f>
        <v>0</v>
      </c>
      <c r="D67" s="13">
        <f>'1_Precios'!D67/'1_Precios'!D66-1</f>
        <v>0</v>
      </c>
      <c r="E67" s="13">
        <f>'1_Precios'!E67/'1_Precios'!E66-1</f>
        <v>0</v>
      </c>
      <c r="F67" s="13">
        <f>'1_Precios'!F67/'1_Precios'!F66-1</f>
        <v>0</v>
      </c>
      <c r="G67" s="13">
        <f>'1_Precios'!G67/'1_Precios'!G66-1</f>
        <v>0</v>
      </c>
    </row>
    <row r="68" spans="1:7">
      <c r="A68" s="12">
        <f>'1_Precios'!A68</f>
        <v>0</v>
      </c>
      <c r="B68" s="13">
        <f>'1_Precios'!B68/'1_Precios'!B67-1</f>
        <v>0</v>
      </c>
      <c r="C68" s="13">
        <f>'1_Precios'!C68/'1_Precios'!C67-1</f>
        <v>0</v>
      </c>
      <c r="D68" s="13">
        <f>'1_Precios'!D68/'1_Precios'!D67-1</f>
        <v>0</v>
      </c>
      <c r="E68" s="13">
        <f>'1_Precios'!E68/'1_Precios'!E67-1</f>
        <v>0</v>
      </c>
      <c r="F68" s="13">
        <f>'1_Precios'!F68/'1_Precios'!F67-1</f>
        <v>0</v>
      </c>
      <c r="G68" s="13">
        <f>'1_Precios'!G68/'1_Precios'!G67-1</f>
        <v>0</v>
      </c>
    </row>
    <row r="69" spans="1:7">
      <c r="A69" s="12">
        <f>'1_Precios'!A69</f>
        <v>0</v>
      </c>
      <c r="B69" s="13">
        <f>'1_Precios'!B69/'1_Precios'!B68-1</f>
        <v>0</v>
      </c>
      <c r="C69" s="13">
        <f>'1_Precios'!C69/'1_Precios'!C68-1</f>
        <v>0</v>
      </c>
      <c r="D69" s="13">
        <f>'1_Precios'!D69/'1_Precios'!D68-1</f>
        <v>0</v>
      </c>
      <c r="E69" s="13">
        <f>'1_Precios'!E69/'1_Precios'!E68-1</f>
        <v>0</v>
      </c>
      <c r="F69" s="13">
        <f>'1_Precios'!F69/'1_Precios'!F68-1</f>
        <v>0</v>
      </c>
      <c r="G69" s="13">
        <f>'1_Precios'!G69/'1_Precios'!G68-1</f>
        <v>0</v>
      </c>
    </row>
    <row r="70" spans="1:7">
      <c r="A70" s="12">
        <f>'1_Precios'!A70</f>
        <v>0</v>
      </c>
      <c r="B70" s="13">
        <f>'1_Precios'!B70/'1_Precios'!B69-1</f>
        <v>0</v>
      </c>
      <c r="C70" s="13">
        <f>'1_Precios'!C70/'1_Precios'!C69-1</f>
        <v>0</v>
      </c>
      <c r="D70" s="13">
        <f>'1_Precios'!D70/'1_Precios'!D69-1</f>
        <v>0</v>
      </c>
      <c r="E70" s="13">
        <f>'1_Precios'!E70/'1_Precios'!E69-1</f>
        <v>0</v>
      </c>
      <c r="F70" s="13">
        <f>'1_Precios'!F70/'1_Precios'!F69-1</f>
        <v>0</v>
      </c>
      <c r="G70" s="13">
        <f>'1_Precios'!G70/'1_Precios'!G69-1</f>
        <v>0</v>
      </c>
    </row>
    <row r="71" spans="1:7">
      <c r="A71" s="12">
        <f>'1_Precios'!A71</f>
        <v>0</v>
      </c>
      <c r="B71" s="13">
        <f>'1_Precios'!B71/'1_Precios'!B70-1</f>
        <v>0</v>
      </c>
      <c r="C71" s="13">
        <f>'1_Precios'!C71/'1_Precios'!C70-1</f>
        <v>0</v>
      </c>
      <c r="D71" s="13">
        <f>'1_Precios'!D71/'1_Precios'!D70-1</f>
        <v>0</v>
      </c>
      <c r="E71" s="13">
        <f>'1_Precios'!E71/'1_Precios'!E70-1</f>
        <v>0</v>
      </c>
      <c r="F71" s="13">
        <f>'1_Precios'!F71/'1_Precios'!F70-1</f>
        <v>0</v>
      </c>
      <c r="G71" s="13">
        <f>'1_Precios'!G71/'1_Precios'!G70-1</f>
        <v>0</v>
      </c>
    </row>
    <row r="72" spans="1:7">
      <c r="A72" s="12">
        <f>'1_Precios'!A72</f>
        <v>0</v>
      </c>
      <c r="B72" s="13">
        <f>'1_Precios'!B72/'1_Precios'!B71-1</f>
        <v>0</v>
      </c>
      <c r="C72" s="13">
        <f>'1_Precios'!C72/'1_Precios'!C71-1</f>
        <v>0</v>
      </c>
      <c r="D72" s="13">
        <f>'1_Precios'!D72/'1_Precios'!D71-1</f>
        <v>0</v>
      </c>
      <c r="E72" s="13">
        <f>'1_Precios'!E72/'1_Precios'!E71-1</f>
        <v>0</v>
      </c>
      <c r="F72" s="13">
        <f>'1_Precios'!F72/'1_Precios'!F71-1</f>
        <v>0</v>
      </c>
      <c r="G72" s="13">
        <f>'1_Precios'!G72/'1_Precios'!G71-1</f>
        <v>0</v>
      </c>
    </row>
    <row r="73" spans="1:7">
      <c r="A73" s="12">
        <f>'1_Precios'!A73</f>
        <v>0</v>
      </c>
      <c r="B73" s="13">
        <f>'1_Precios'!B73/'1_Precios'!B72-1</f>
        <v>0</v>
      </c>
      <c r="C73" s="13">
        <f>'1_Precios'!C73/'1_Precios'!C72-1</f>
        <v>0</v>
      </c>
      <c r="D73" s="13">
        <f>'1_Precios'!D73/'1_Precios'!D72-1</f>
        <v>0</v>
      </c>
      <c r="E73" s="13">
        <f>'1_Precios'!E73/'1_Precios'!E72-1</f>
        <v>0</v>
      </c>
      <c r="F73" s="13">
        <f>'1_Precios'!F73/'1_Precios'!F72-1</f>
        <v>0</v>
      </c>
      <c r="G73" s="13">
        <f>'1_Precios'!G73/'1_Precios'!G72-1</f>
        <v>0</v>
      </c>
    </row>
    <row r="74" spans="1:7">
      <c r="A74" s="12">
        <f>'1_Precios'!A74</f>
        <v>0</v>
      </c>
      <c r="B74" s="13">
        <f>'1_Precios'!B74/'1_Precios'!B73-1</f>
        <v>0</v>
      </c>
      <c r="C74" s="13">
        <f>'1_Precios'!C74/'1_Precios'!C73-1</f>
        <v>0</v>
      </c>
      <c r="D74" s="13">
        <f>'1_Precios'!D74/'1_Precios'!D73-1</f>
        <v>0</v>
      </c>
      <c r="E74" s="13">
        <f>'1_Precios'!E74/'1_Precios'!E73-1</f>
        <v>0</v>
      </c>
      <c r="F74" s="13">
        <f>'1_Precios'!F74/'1_Precios'!F73-1</f>
        <v>0</v>
      </c>
      <c r="G74" s="13">
        <f>'1_Precios'!G74/'1_Precios'!G73-1</f>
        <v>0</v>
      </c>
    </row>
    <row r="75" spans="1:7">
      <c r="A75" s="12">
        <f>'1_Precios'!A75</f>
        <v>0</v>
      </c>
      <c r="B75" s="13">
        <f>'1_Precios'!B75/'1_Precios'!B74-1</f>
        <v>0</v>
      </c>
      <c r="C75" s="13">
        <f>'1_Precios'!C75/'1_Precios'!C74-1</f>
        <v>0</v>
      </c>
      <c r="D75" s="13">
        <f>'1_Precios'!D75/'1_Precios'!D74-1</f>
        <v>0</v>
      </c>
      <c r="E75" s="13">
        <f>'1_Precios'!E75/'1_Precios'!E74-1</f>
        <v>0</v>
      </c>
      <c r="F75" s="13">
        <f>'1_Precios'!F75/'1_Precios'!F74-1</f>
        <v>0</v>
      </c>
      <c r="G75" s="13">
        <f>'1_Precios'!G75/'1_Precios'!G74-1</f>
        <v>0</v>
      </c>
    </row>
    <row r="76" spans="1:7">
      <c r="A76" s="12">
        <f>'1_Precios'!A76</f>
        <v>0</v>
      </c>
      <c r="B76" s="13">
        <f>'1_Precios'!B76/'1_Precios'!B75-1</f>
        <v>0</v>
      </c>
      <c r="C76" s="13">
        <f>'1_Precios'!C76/'1_Precios'!C75-1</f>
        <v>0</v>
      </c>
      <c r="D76" s="13">
        <f>'1_Precios'!D76/'1_Precios'!D75-1</f>
        <v>0</v>
      </c>
      <c r="E76" s="13">
        <f>'1_Precios'!E76/'1_Precios'!E75-1</f>
        <v>0</v>
      </c>
      <c r="F76" s="13">
        <f>'1_Precios'!F76/'1_Precios'!F75-1</f>
        <v>0</v>
      </c>
      <c r="G76" s="13">
        <f>'1_Precios'!G76/'1_Precios'!G75-1</f>
        <v>0</v>
      </c>
    </row>
    <row r="77" spans="1:7">
      <c r="A77" s="12">
        <f>'1_Precios'!A77</f>
        <v>0</v>
      </c>
      <c r="B77" s="13">
        <f>'1_Precios'!B77/'1_Precios'!B76-1</f>
        <v>0</v>
      </c>
      <c r="C77" s="13">
        <f>'1_Precios'!C77/'1_Precios'!C76-1</f>
        <v>0</v>
      </c>
      <c r="D77" s="13">
        <f>'1_Precios'!D77/'1_Precios'!D76-1</f>
        <v>0</v>
      </c>
      <c r="E77" s="13">
        <f>'1_Precios'!E77/'1_Precios'!E76-1</f>
        <v>0</v>
      </c>
      <c r="F77" s="13">
        <f>'1_Precios'!F77/'1_Precios'!F76-1</f>
        <v>0</v>
      </c>
      <c r="G77" s="13">
        <f>'1_Precios'!G77/'1_Precios'!G76-1</f>
        <v>0</v>
      </c>
    </row>
    <row r="78" spans="1:7">
      <c r="A78" s="12">
        <f>'1_Precios'!A78</f>
        <v>0</v>
      </c>
      <c r="B78" s="13">
        <f>'1_Precios'!B78/'1_Precios'!B77-1</f>
        <v>0</v>
      </c>
      <c r="C78" s="13">
        <f>'1_Precios'!C78/'1_Precios'!C77-1</f>
        <v>0</v>
      </c>
      <c r="D78" s="13">
        <f>'1_Precios'!D78/'1_Precios'!D77-1</f>
        <v>0</v>
      </c>
      <c r="E78" s="13">
        <f>'1_Precios'!E78/'1_Precios'!E77-1</f>
        <v>0</v>
      </c>
      <c r="F78" s="13">
        <f>'1_Precios'!F78/'1_Precios'!F77-1</f>
        <v>0</v>
      </c>
      <c r="G78" s="13">
        <f>'1_Precios'!G78/'1_Precios'!G77-1</f>
        <v>0</v>
      </c>
    </row>
    <row r="79" spans="1:7">
      <c r="A79" s="12">
        <f>'1_Precios'!A79</f>
        <v>0</v>
      </c>
      <c r="B79" s="13">
        <f>'1_Precios'!B79/'1_Precios'!B78-1</f>
        <v>0</v>
      </c>
      <c r="C79" s="13">
        <f>'1_Precios'!C79/'1_Precios'!C78-1</f>
        <v>0</v>
      </c>
      <c r="D79" s="13">
        <f>'1_Precios'!D79/'1_Precios'!D78-1</f>
        <v>0</v>
      </c>
      <c r="E79" s="13">
        <f>'1_Precios'!E79/'1_Precios'!E78-1</f>
        <v>0</v>
      </c>
      <c r="F79" s="13">
        <f>'1_Precios'!F79/'1_Precios'!F78-1</f>
        <v>0</v>
      </c>
      <c r="G79" s="13">
        <f>'1_Precios'!G79/'1_Precios'!G78-1</f>
        <v>0</v>
      </c>
    </row>
    <row r="80" spans="1:7">
      <c r="A80" s="12">
        <f>'1_Precios'!A80</f>
        <v>0</v>
      </c>
      <c r="B80" s="13">
        <f>'1_Precios'!B80/'1_Precios'!B79-1</f>
        <v>0</v>
      </c>
      <c r="C80" s="13">
        <f>'1_Precios'!C80/'1_Precios'!C79-1</f>
        <v>0</v>
      </c>
      <c r="D80" s="13">
        <f>'1_Precios'!D80/'1_Precios'!D79-1</f>
        <v>0</v>
      </c>
      <c r="E80" s="13">
        <f>'1_Precios'!E80/'1_Precios'!E79-1</f>
        <v>0</v>
      </c>
      <c r="F80" s="13">
        <f>'1_Precios'!F80/'1_Precios'!F79-1</f>
        <v>0</v>
      </c>
      <c r="G80" s="13">
        <f>'1_Precios'!G80/'1_Precios'!G79-1</f>
        <v>0</v>
      </c>
    </row>
    <row r="81" spans="1:7">
      <c r="A81" s="12">
        <f>'1_Precios'!A81</f>
        <v>0</v>
      </c>
      <c r="B81" s="13">
        <f>'1_Precios'!B81/'1_Precios'!B80-1</f>
        <v>0</v>
      </c>
      <c r="C81" s="13">
        <f>'1_Precios'!C81/'1_Precios'!C80-1</f>
        <v>0</v>
      </c>
      <c r="D81" s="13">
        <f>'1_Precios'!D81/'1_Precios'!D80-1</f>
        <v>0</v>
      </c>
      <c r="E81" s="13">
        <f>'1_Precios'!E81/'1_Precios'!E80-1</f>
        <v>0</v>
      </c>
      <c r="F81" s="13">
        <f>'1_Precios'!F81/'1_Precios'!F80-1</f>
        <v>0</v>
      </c>
      <c r="G81" s="13">
        <f>'1_Precios'!G81/'1_Precios'!G80-1</f>
        <v>0</v>
      </c>
    </row>
    <row r="82" spans="1:7">
      <c r="A82" s="12">
        <f>'1_Precios'!A82</f>
        <v>0</v>
      </c>
      <c r="B82" s="13">
        <f>'1_Precios'!B82/'1_Precios'!B81-1</f>
        <v>0</v>
      </c>
      <c r="C82" s="13">
        <f>'1_Precios'!C82/'1_Precios'!C81-1</f>
        <v>0</v>
      </c>
      <c r="D82" s="13">
        <f>'1_Precios'!D82/'1_Precios'!D81-1</f>
        <v>0</v>
      </c>
      <c r="E82" s="13">
        <f>'1_Precios'!E82/'1_Precios'!E81-1</f>
        <v>0</v>
      </c>
      <c r="F82" s="13">
        <f>'1_Precios'!F82/'1_Precios'!F81-1</f>
        <v>0</v>
      </c>
      <c r="G82" s="13">
        <f>'1_Precios'!G82/'1_Precios'!G81-1</f>
        <v>0</v>
      </c>
    </row>
    <row r="83" spans="1:7">
      <c r="A83" s="12">
        <f>'1_Precios'!A83</f>
        <v>0</v>
      </c>
      <c r="B83" s="13">
        <f>'1_Precios'!B83/'1_Precios'!B82-1</f>
        <v>0</v>
      </c>
      <c r="C83" s="13">
        <f>'1_Precios'!C83/'1_Precios'!C82-1</f>
        <v>0</v>
      </c>
      <c r="D83" s="13">
        <f>'1_Precios'!D83/'1_Precios'!D82-1</f>
        <v>0</v>
      </c>
      <c r="E83" s="13">
        <f>'1_Precios'!E83/'1_Precios'!E82-1</f>
        <v>0</v>
      </c>
      <c r="F83" s="13">
        <f>'1_Precios'!F83/'1_Precios'!F82-1</f>
        <v>0</v>
      </c>
      <c r="G83" s="13">
        <f>'1_Precios'!G83/'1_Precios'!G82-1</f>
        <v>0</v>
      </c>
    </row>
    <row r="84" spans="1:7">
      <c r="A84" s="12">
        <f>'1_Precios'!A84</f>
        <v>0</v>
      </c>
      <c r="B84" s="13">
        <f>'1_Precios'!B84/'1_Precios'!B83-1</f>
        <v>0</v>
      </c>
      <c r="C84" s="13">
        <f>'1_Precios'!C84/'1_Precios'!C83-1</f>
        <v>0</v>
      </c>
      <c r="D84" s="13">
        <f>'1_Precios'!D84/'1_Precios'!D83-1</f>
        <v>0</v>
      </c>
      <c r="E84" s="13">
        <f>'1_Precios'!E84/'1_Precios'!E83-1</f>
        <v>0</v>
      </c>
      <c r="F84" s="13">
        <f>'1_Precios'!F84/'1_Precios'!F83-1</f>
        <v>0</v>
      </c>
      <c r="G84" s="13">
        <f>'1_Precios'!G84/'1_Precios'!G83-1</f>
        <v>0</v>
      </c>
    </row>
    <row r="85" spans="1:7">
      <c r="A85" s="12">
        <f>'1_Precios'!A85</f>
        <v>0</v>
      </c>
      <c r="B85" s="13">
        <f>'1_Precios'!B85/'1_Precios'!B84-1</f>
        <v>0</v>
      </c>
      <c r="C85" s="13">
        <f>'1_Precios'!C85/'1_Precios'!C84-1</f>
        <v>0</v>
      </c>
      <c r="D85" s="13">
        <f>'1_Precios'!D85/'1_Precios'!D84-1</f>
        <v>0</v>
      </c>
      <c r="E85" s="13">
        <f>'1_Precios'!E85/'1_Precios'!E84-1</f>
        <v>0</v>
      </c>
      <c r="F85" s="13">
        <f>'1_Precios'!F85/'1_Precios'!F84-1</f>
        <v>0</v>
      </c>
      <c r="G85" s="13">
        <f>'1_Precios'!G85/'1_Precios'!G84-1</f>
        <v>0</v>
      </c>
    </row>
    <row r="86" spans="1:7">
      <c r="A86" s="12">
        <f>'1_Precios'!A86</f>
        <v>0</v>
      </c>
      <c r="B86" s="13">
        <f>'1_Precios'!B86/'1_Precios'!B85-1</f>
        <v>0</v>
      </c>
      <c r="C86" s="13">
        <f>'1_Precios'!C86/'1_Precios'!C85-1</f>
        <v>0</v>
      </c>
      <c r="D86" s="13">
        <f>'1_Precios'!D86/'1_Precios'!D85-1</f>
        <v>0</v>
      </c>
      <c r="E86" s="13">
        <f>'1_Precios'!E86/'1_Precios'!E85-1</f>
        <v>0</v>
      </c>
      <c r="F86" s="13">
        <f>'1_Precios'!F86/'1_Precios'!F85-1</f>
        <v>0</v>
      </c>
      <c r="G86" s="13">
        <f>'1_Precios'!G86/'1_Precios'!G85-1</f>
        <v>0</v>
      </c>
    </row>
    <row r="87" spans="1:7">
      <c r="A87" s="12">
        <f>'1_Precios'!A87</f>
        <v>0</v>
      </c>
      <c r="B87" s="13">
        <f>'1_Precios'!B87/'1_Precios'!B86-1</f>
        <v>0</v>
      </c>
      <c r="C87" s="13">
        <f>'1_Precios'!C87/'1_Precios'!C86-1</f>
        <v>0</v>
      </c>
      <c r="D87" s="13">
        <f>'1_Precios'!D87/'1_Precios'!D86-1</f>
        <v>0</v>
      </c>
      <c r="E87" s="13">
        <f>'1_Precios'!E87/'1_Precios'!E86-1</f>
        <v>0</v>
      </c>
      <c r="F87" s="13">
        <f>'1_Precios'!F87/'1_Precios'!F86-1</f>
        <v>0</v>
      </c>
      <c r="G87" s="13">
        <f>'1_Precios'!G87/'1_Precios'!G86-1</f>
        <v>0</v>
      </c>
    </row>
    <row r="88" spans="1:7">
      <c r="A88" s="12">
        <f>'1_Precios'!A88</f>
        <v>0</v>
      </c>
      <c r="B88" s="13">
        <f>'1_Precios'!B88/'1_Precios'!B87-1</f>
        <v>0</v>
      </c>
      <c r="C88" s="13">
        <f>'1_Precios'!C88/'1_Precios'!C87-1</f>
        <v>0</v>
      </c>
      <c r="D88" s="13">
        <f>'1_Precios'!D88/'1_Precios'!D87-1</f>
        <v>0</v>
      </c>
      <c r="E88" s="13">
        <f>'1_Precios'!E88/'1_Precios'!E87-1</f>
        <v>0</v>
      </c>
      <c r="F88" s="13">
        <f>'1_Precios'!F88/'1_Precios'!F87-1</f>
        <v>0</v>
      </c>
      <c r="G88" s="13">
        <f>'1_Precios'!G88/'1_Precios'!G87-1</f>
        <v>0</v>
      </c>
    </row>
    <row r="89" spans="1:7">
      <c r="A89" s="12">
        <f>'1_Precios'!A89</f>
        <v>0</v>
      </c>
      <c r="B89" s="13">
        <f>'1_Precios'!B89/'1_Precios'!B88-1</f>
        <v>0</v>
      </c>
      <c r="C89" s="13">
        <f>'1_Precios'!C89/'1_Precios'!C88-1</f>
        <v>0</v>
      </c>
      <c r="D89" s="13">
        <f>'1_Precios'!D89/'1_Precios'!D88-1</f>
        <v>0</v>
      </c>
      <c r="E89" s="13">
        <f>'1_Precios'!E89/'1_Precios'!E88-1</f>
        <v>0</v>
      </c>
      <c r="F89" s="13">
        <f>'1_Precios'!F89/'1_Precios'!F88-1</f>
        <v>0</v>
      </c>
      <c r="G89" s="13">
        <f>'1_Precios'!G89/'1_Precios'!G88-1</f>
        <v>0</v>
      </c>
    </row>
    <row r="90" spans="1:7">
      <c r="A90" s="12">
        <f>'1_Precios'!A90</f>
        <v>0</v>
      </c>
      <c r="B90" s="13">
        <f>'1_Precios'!B90/'1_Precios'!B89-1</f>
        <v>0</v>
      </c>
      <c r="C90" s="13">
        <f>'1_Precios'!C90/'1_Precios'!C89-1</f>
        <v>0</v>
      </c>
      <c r="D90" s="13">
        <f>'1_Precios'!D90/'1_Precios'!D89-1</f>
        <v>0</v>
      </c>
      <c r="E90" s="13">
        <f>'1_Precios'!E90/'1_Precios'!E89-1</f>
        <v>0</v>
      </c>
      <c r="F90" s="13">
        <f>'1_Precios'!F90/'1_Precios'!F89-1</f>
        <v>0</v>
      </c>
      <c r="G90" s="13">
        <f>'1_Precios'!G90/'1_Precios'!G89-1</f>
        <v>0</v>
      </c>
    </row>
    <row r="91" spans="1:7">
      <c r="A91" s="12">
        <f>'1_Precios'!A91</f>
        <v>0</v>
      </c>
      <c r="B91" s="13">
        <f>'1_Precios'!B91/'1_Precios'!B90-1</f>
        <v>0</v>
      </c>
      <c r="C91" s="13">
        <f>'1_Precios'!C91/'1_Precios'!C90-1</f>
        <v>0</v>
      </c>
      <c r="D91" s="13">
        <f>'1_Precios'!D91/'1_Precios'!D90-1</f>
        <v>0</v>
      </c>
      <c r="E91" s="13">
        <f>'1_Precios'!E91/'1_Precios'!E90-1</f>
        <v>0</v>
      </c>
      <c r="F91" s="13">
        <f>'1_Precios'!F91/'1_Precios'!F90-1</f>
        <v>0</v>
      </c>
      <c r="G91" s="13">
        <f>'1_Precios'!G91/'1_Precios'!G90-1</f>
        <v>0</v>
      </c>
    </row>
    <row r="92" spans="1:7">
      <c r="A92" s="12">
        <f>'1_Precios'!A92</f>
        <v>0</v>
      </c>
      <c r="B92" s="13">
        <f>'1_Precios'!B92/'1_Precios'!B91-1</f>
        <v>0</v>
      </c>
      <c r="C92" s="13">
        <f>'1_Precios'!C92/'1_Precios'!C91-1</f>
        <v>0</v>
      </c>
      <c r="D92" s="13">
        <f>'1_Precios'!D92/'1_Precios'!D91-1</f>
        <v>0</v>
      </c>
      <c r="E92" s="13">
        <f>'1_Precios'!E92/'1_Precios'!E91-1</f>
        <v>0</v>
      </c>
      <c r="F92" s="13">
        <f>'1_Precios'!F92/'1_Precios'!F91-1</f>
        <v>0</v>
      </c>
      <c r="G92" s="13">
        <f>'1_Precios'!G92/'1_Precios'!G91-1</f>
        <v>0</v>
      </c>
    </row>
    <row r="93" spans="1:7">
      <c r="A93" s="12">
        <f>'1_Precios'!A93</f>
        <v>0</v>
      </c>
      <c r="B93" s="13">
        <f>'1_Precios'!B93/'1_Precios'!B92-1</f>
        <v>0</v>
      </c>
      <c r="C93" s="13">
        <f>'1_Precios'!C93/'1_Precios'!C92-1</f>
        <v>0</v>
      </c>
      <c r="D93" s="13">
        <f>'1_Precios'!D93/'1_Precios'!D92-1</f>
        <v>0</v>
      </c>
      <c r="E93" s="13">
        <f>'1_Precios'!E93/'1_Precios'!E92-1</f>
        <v>0</v>
      </c>
      <c r="F93" s="13">
        <f>'1_Precios'!F93/'1_Precios'!F92-1</f>
        <v>0</v>
      </c>
      <c r="G93" s="13">
        <f>'1_Precios'!G93/'1_Precios'!G92-1</f>
        <v>0</v>
      </c>
    </row>
    <row r="94" spans="1:7">
      <c r="A94" s="12">
        <f>'1_Precios'!A94</f>
        <v>0</v>
      </c>
      <c r="B94" s="13">
        <f>'1_Precios'!B94/'1_Precios'!B93-1</f>
        <v>0</v>
      </c>
      <c r="C94" s="13">
        <f>'1_Precios'!C94/'1_Precios'!C93-1</f>
        <v>0</v>
      </c>
      <c r="D94" s="13">
        <f>'1_Precios'!D94/'1_Precios'!D93-1</f>
        <v>0</v>
      </c>
      <c r="E94" s="13">
        <f>'1_Precios'!E94/'1_Precios'!E93-1</f>
        <v>0</v>
      </c>
      <c r="F94" s="13">
        <f>'1_Precios'!F94/'1_Precios'!F93-1</f>
        <v>0</v>
      </c>
      <c r="G94" s="13">
        <f>'1_Precios'!G94/'1_Precios'!G93-1</f>
        <v>0</v>
      </c>
    </row>
    <row r="95" spans="1:7">
      <c r="A95" s="12">
        <f>'1_Precios'!A95</f>
        <v>0</v>
      </c>
      <c r="B95" s="13">
        <f>'1_Precios'!B95/'1_Precios'!B94-1</f>
        <v>0</v>
      </c>
      <c r="C95" s="13">
        <f>'1_Precios'!C95/'1_Precios'!C94-1</f>
        <v>0</v>
      </c>
      <c r="D95" s="13">
        <f>'1_Precios'!D95/'1_Precios'!D94-1</f>
        <v>0</v>
      </c>
      <c r="E95" s="13">
        <f>'1_Precios'!E95/'1_Precios'!E94-1</f>
        <v>0</v>
      </c>
      <c r="F95" s="13">
        <f>'1_Precios'!F95/'1_Precios'!F94-1</f>
        <v>0</v>
      </c>
      <c r="G95" s="13">
        <f>'1_Precios'!G95/'1_Precios'!G94-1</f>
        <v>0</v>
      </c>
    </row>
    <row r="96" spans="1:7">
      <c r="A96" s="12">
        <f>'1_Precios'!A96</f>
        <v>0</v>
      </c>
      <c r="B96" s="13">
        <f>'1_Precios'!B96/'1_Precios'!B95-1</f>
        <v>0</v>
      </c>
      <c r="C96" s="13">
        <f>'1_Precios'!C96/'1_Precios'!C95-1</f>
        <v>0</v>
      </c>
      <c r="D96" s="13">
        <f>'1_Precios'!D96/'1_Precios'!D95-1</f>
        <v>0</v>
      </c>
      <c r="E96" s="13">
        <f>'1_Precios'!E96/'1_Precios'!E95-1</f>
        <v>0</v>
      </c>
      <c r="F96" s="13">
        <f>'1_Precios'!F96/'1_Precios'!F95-1</f>
        <v>0</v>
      </c>
      <c r="G96" s="13">
        <f>'1_Precios'!G96/'1_Precios'!G95-1</f>
        <v>0</v>
      </c>
    </row>
    <row r="97" spans="1:7">
      <c r="A97" s="12">
        <f>'1_Precios'!A97</f>
        <v>0</v>
      </c>
      <c r="B97" s="13">
        <f>'1_Precios'!B97/'1_Precios'!B96-1</f>
        <v>0</v>
      </c>
      <c r="C97" s="13">
        <f>'1_Precios'!C97/'1_Precios'!C96-1</f>
        <v>0</v>
      </c>
      <c r="D97" s="13">
        <f>'1_Precios'!D97/'1_Precios'!D96-1</f>
        <v>0</v>
      </c>
      <c r="E97" s="13">
        <f>'1_Precios'!E97/'1_Precios'!E96-1</f>
        <v>0</v>
      </c>
      <c r="F97" s="13">
        <f>'1_Precios'!F97/'1_Precios'!F96-1</f>
        <v>0</v>
      </c>
      <c r="G97" s="13">
        <f>'1_Precios'!G97/'1_Precios'!G96-1</f>
        <v>0</v>
      </c>
    </row>
    <row r="98" spans="1:7">
      <c r="A98" s="12">
        <f>'1_Precios'!A98</f>
        <v>0</v>
      </c>
      <c r="B98" s="13">
        <f>'1_Precios'!B98/'1_Precios'!B97-1</f>
        <v>0</v>
      </c>
      <c r="C98" s="13">
        <f>'1_Precios'!C98/'1_Precios'!C97-1</f>
        <v>0</v>
      </c>
      <c r="D98" s="13">
        <f>'1_Precios'!D98/'1_Precios'!D97-1</f>
        <v>0</v>
      </c>
      <c r="E98" s="13">
        <f>'1_Precios'!E98/'1_Precios'!E97-1</f>
        <v>0</v>
      </c>
      <c r="F98" s="13">
        <f>'1_Precios'!F98/'1_Precios'!F97-1</f>
        <v>0</v>
      </c>
      <c r="G98" s="13">
        <f>'1_Precios'!G98/'1_Precios'!G97-1</f>
        <v>0</v>
      </c>
    </row>
    <row r="99" spans="1:7">
      <c r="A99" s="12">
        <f>'1_Precios'!A99</f>
        <v>0</v>
      </c>
      <c r="B99" s="13">
        <f>'1_Precios'!B99/'1_Precios'!B98-1</f>
        <v>0</v>
      </c>
      <c r="C99" s="13">
        <f>'1_Precios'!C99/'1_Precios'!C98-1</f>
        <v>0</v>
      </c>
      <c r="D99" s="13">
        <f>'1_Precios'!D99/'1_Precios'!D98-1</f>
        <v>0</v>
      </c>
      <c r="E99" s="13">
        <f>'1_Precios'!E99/'1_Precios'!E98-1</f>
        <v>0</v>
      </c>
      <c r="F99" s="13">
        <f>'1_Precios'!F99/'1_Precios'!F98-1</f>
        <v>0</v>
      </c>
      <c r="G99" s="13">
        <f>'1_Precios'!G99/'1_Precios'!G98-1</f>
        <v>0</v>
      </c>
    </row>
    <row r="100" spans="1:7">
      <c r="A100" s="12">
        <f>'1_Precios'!A100</f>
        <v>0</v>
      </c>
      <c r="B100" s="13">
        <f>'1_Precios'!B100/'1_Precios'!B99-1</f>
        <v>0</v>
      </c>
      <c r="C100" s="13">
        <f>'1_Precios'!C100/'1_Precios'!C99-1</f>
        <v>0</v>
      </c>
      <c r="D100" s="13">
        <f>'1_Precios'!D100/'1_Precios'!D99-1</f>
        <v>0</v>
      </c>
      <c r="E100" s="13">
        <f>'1_Precios'!E100/'1_Precios'!E99-1</f>
        <v>0</v>
      </c>
      <c r="F100" s="13">
        <f>'1_Precios'!F100/'1_Precios'!F99-1</f>
        <v>0</v>
      </c>
      <c r="G100" s="13">
        <f>'1_Precios'!G100/'1_Precios'!G99-1</f>
        <v>0</v>
      </c>
    </row>
    <row r="101" spans="1:7">
      <c r="A101" s="12">
        <f>'1_Precios'!A101</f>
        <v>0</v>
      </c>
      <c r="B101" s="13">
        <f>'1_Precios'!B101/'1_Precios'!B100-1</f>
        <v>0</v>
      </c>
      <c r="C101" s="13">
        <f>'1_Precios'!C101/'1_Precios'!C100-1</f>
        <v>0</v>
      </c>
      <c r="D101" s="13">
        <f>'1_Precios'!D101/'1_Precios'!D100-1</f>
        <v>0</v>
      </c>
      <c r="E101" s="13">
        <f>'1_Precios'!E101/'1_Precios'!E100-1</f>
        <v>0</v>
      </c>
      <c r="F101" s="13">
        <f>'1_Precios'!F101/'1_Precios'!F100-1</f>
        <v>0</v>
      </c>
      <c r="G101" s="13">
        <f>'1_Precios'!G101/'1_Precios'!G100-1</f>
        <v>0</v>
      </c>
    </row>
    <row r="102" spans="1:7">
      <c r="A102" s="12">
        <f>'1_Precios'!A102</f>
        <v>0</v>
      </c>
      <c r="B102" s="13">
        <f>'1_Precios'!B102/'1_Precios'!B101-1</f>
        <v>0</v>
      </c>
      <c r="C102" s="13">
        <f>'1_Precios'!C102/'1_Precios'!C101-1</f>
        <v>0</v>
      </c>
      <c r="D102" s="13">
        <f>'1_Precios'!D102/'1_Precios'!D101-1</f>
        <v>0</v>
      </c>
      <c r="E102" s="13">
        <f>'1_Precios'!E102/'1_Precios'!E101-1</f>
        <v>0</v>
      </c>
      <c r="F102" s="13">
        <f>'1_Precios'!F102/'1_Precios'!F101-1</f>
        <v>0</v>
      </c>
      <c r="G102" s="13">
        <f>'1_Precios'!G102/'1_Precios'!G101-1</f>
        <v>0</v>
      </c>
    </row>
    <row r="103" spans="1:7">
      <c r="A103" s="12">
        <f>'1_Precios'!A103</f>
        <v>0</v>
      </c>
      <c r="B103" s="13">
        <f>'1_Precios'!B103/'1_Precios'!B102-1</f>
        <v>0</v>
      </c>
      <c r="C103" s="13">
        <f>'1_Precios'!C103/'1_Precios'!C102-1</f>
        <v>0</v>
      </c>
      <c r="D103" s="13">
        <f>'1_Precios'!D103/'1_Precios'!D102-1</f>
        <v>0</v>
      </c>
      <c r="E103" s="13">
        <f>'1_Precios'!E103/'1_Precios'!E102-1</f>
        <v>0</v>
      </c>
      <c r="F103" s="13">
        <f>'1_Precios'!F103/'1_Precios'!F102-1</f>
        <v>0</v>
      </c>
      <c r="G103" s="13">
        <f>'1_Precios'!G103/'1_Precios'!G102-1</f>
        <v>0</v>
      </c>
    </row>
    <row r="104" spans="1:7">
      <c r="A104" s="12">
        <f>'1_Precios'!A104</f>
        <v>0</v>
      </c>
      <c r="B104" s="13">
        <f>'1_Precios'!B104/'1_Precios'!B103-1</f>
        <v>0</v>
      </c>
      <c r="C104" s="13">
        <f>'1_Precios'!C104/'1_Precios'!C103-1</f>
        <v>0</v>
      </c>
      <c r="D104" s="13">
        <f>'1_Precios'!D104/'1_Precios'!D103-1</f>
        <v>0</v>
      </c>
      <c r="E104" s="13">
        <f>'1_Precios'!E104/'1_Precios'!E103-1</f>
        <v>0</v>
      </c>
      <c r="F104" s="13">
        <f>'1_Precios'!F104/'1_Precios'!F103-1</f>
        <v>0</v>
      </c>
      <c r="G104" s="13">
        <f>'1_Precios'!G104/'1_Precios'!G103-1</f>
        <v>0</v>
      </c>
    </row>
    <row r="105" spans="1:7">
      <c r="A105" s="12">
        <f>'1_Precios'!A105</f>
        <v>0</v>
      </c>
      <c r="B105" s="13">
        <f>'1_Precios'!B105/'1_Precios'!B104-1</f>
        <v>0</v>
      </c>
      <c r="C105" s="13">
        <f>'1_Precios'!C105/'1_Precios'!C104-1</f>
        <v>0</v>
      </c>
      <c r="D105" s="13">
        <f>'1_Precios'!D105/'1_Precios'!D104-1</f>
        <v>0</v>
      </c>
      <c r="E105" s="13">
        <f>'1_Precios'!E105/'1_Precios'!E104-1</f>
        <v>0</v>
      </c>
      <c r="F105" s="13">
        <f>'1_Precios'!F105/'1_Precios'!F104-1</f>
        <v>0</v>
      </c>
      <c r="G105" s="13">
        <f>'1_Precios'!G105/'1_Precios'!G104-1</f>
        <v>0</v>
      </c>
    </row>
    <row r="106" spans="1:7">
      <c r="A106" s="12">
        <f>'1_Precios'!A106</f>
        <v>0</v>
      </c>
      <c r="B106" s="13">
        <f>'1_Precios'!B106/'1_Precios'!B105-1</f>
        <v>0</v>
      </c>
      <c r="C106" s="13">
        <f>'1_Precios'!C106/'1_Precios'!C105-1</f>
        <v>0</v>
      </c>
      <c r="D106" s="13">
        <f>'1_Precios'!D106/'1_Precios'!D105-1</f>
        <v>0</v>
      </c>
      <c r="E106" s="13">
        <f>'1_Precios'!E106/'1_Precios'!E105-1</f>
        <v>0</v>
      </c>
      <c r="F106" s="13">
        <f>'1_Precios'!F106/'1_Precios'!F105-1</f>
        <v>0</v>
      </c>
      <c r="G106" s="13">
        <f>'1_Precios'!G106/'1_Precios'!G105-1</f>
        <v>0</v>
      </c>
    </row>
    <row r="107" spans="1:7">
      <c r="A107" s="12">
        <f>'1_Precios'!A107</f>
        <v>0</v>
      </c>
      <c r="B107" s="13">
        <f>'1_Precios'!B107/'1_Precios'!B106-1</f>
        <v>0</v>
      </c>
      <c r="C107" s="13">
        <f>'1_Precios'!C107/'1_Precios'!C106-1</f>
        <v>0</v>
      </c>
      <c r="D107" s="13">
        <f>'1_Precios'!D107/'1_Precios'!D106-1</f>
        <v>0</v>
      </c>
      <c r="E107" s="13">
        <f>'1_Precios'!E107/'1_Precios'!E106-1</f>
        <v>0</v>
      </c>
      <c r="F107" s="13">
        <f>'1_Precios'!F107/'1_Precios'!F106-1</f>
        <v>0</v>
      </c>
      <c r="G107" s="13">
        <f>'1_Precios'!G107/'1_Precios'!G106-1</f>
        <v>0</v>
      </c>
    </row>
    <row r="108" spans="1:7">
      <c r="A108" s="12">
        <f>'1_Precios'!A108</f>
        <v>0</v>
      </c>
      <c r="B108" s="13">
        <f>'1_Precios'!B108/'1_Precios'!B107-1</f>
        <v>0</v>
      </c>
      <c r="C108" s="13">
        <f>'1_Precios'!C108/'1_Precios'!C107-1</f>
        <v>0</v>
      </c>
      <c r="D108" s="13">
        <f>'1_Precios'!D108/'1_Precios'!D107-1</f>
        <v>0</v>
      </c>
      <c r="E108" s="13">
        <f>'1_Precios'!E108/'1_Precios'!E107-1</f>
        <v>0</v>
      </c>
      <c r="F108" s="13">
        <f>'1_Precios'!F108/'1_Precios'!F107-1</f>
        <v>0</v>
      </c>
      <c r="G108" s="13">
        <f>'1_Precios'!G108/'1_Precios'!G107-1</f>
        <v>0</v>
      </c>
    </row>
    <row r="109" spans="1:7">
      <c r="A109" s="12">
        <f>'1_Precios'!A109</f>
        <v>0</v>
      </c>
      <c r="B109" s="13">
        <f>'1_Precios'!B109/'1_Precios'!B108-1</f>
        <v>0</v>
      </c>
      <c r="C109" s="13">
        <f>'1_Precios'!C109/'1_Precios'!C108-1</f>
        <v>0</v>
      </c>
      <c r="D109" s="13">
        <f>'1_Precios'!D109/'1_Precios'!D108-1</f>
        <v>0</v>
      </c>
      <c r="E109" s="13">
        <f>'1_Precios'!E109/'1_Precios'!E108-1</f>
        <v>0</v>
      </c>
      <c r="F109" s="13">
        <f>'1_Precios'!F109/'1_Precios'!F108-1</f>
        <v>0</v>
      </c>
      <c r="G109" s="13">
        <f>'1_Precios'!G109/'1_Precios'!G108-1</f>
        <v>0</v>
      </c>
    </row>
    <row r="110" spans="1:7">
      <c r="A110" s="12">
        <f>'1_Precios'!A110</f>
        <v>0</v>
      </c>
      <c r="B110" s="13">
        <f>'1_Precios'!B110/'1_Precios'!B109-1</f>
        <v>0</v>
      </c>
      <c r="C110" s="13">
        <f>'1_Precios'!C110/'1_Precios'!C109-1</f>
        <v>0</v>
      </c>
      <c r="D110" s="13">
        <f>'1_Precios'!D110/'1_Precios'!D109-1</f>
        <v>0</v>
      </c>
      <c r="E110" s="13">
        <f>'1_Precios'!E110/'1_Precios'!E109-1</f>
        <v>0</v>
      </c>
      <c r="F110" s="13">
        <f>'1_Precios'!F110/'1_Precios'!F109-1</f>
        <v>0</v>
      </c>
      <c r="G110" s="13">
        <f>'1_Precios'!G110/'1_Precios'!G109-1</f>
        <v>0</v>
      </c>
    </row>
    <row r="111" spans="1:7">
      <c r="A111" s="12">
        <f>'1_Precios'!A111</f>
        <v>0</v>
      </c>
      <c r="B111" s="13">
        <f>'1_Precios'!B111/'1_Precios'!B110-1</f>
        <v>0</v>
      </c>
      <c r="C111" s="13">
        <f>'1_Precios'!C111/'1_Precios'!C110-1</f>
        <v>0</v>
      </c>
      <c r="D111" s="13">
        <f>'1_Precios'!D111/'1_Precios'!D110-1</f>
        <v>0</v>
      </c>
      <c r="E111" s="13">
        <f>'1_Precios'!E111/'1_Precios'!E110-1</f>
        <v>0</v>
      </c>
      <c r="F111" s="13">
        <f>'1_Precios'!F111/'1_Precios'!F110-1</f>
        <v>0</v>
      </c>
      <c r="G111" s="13">
        <f>'1_Precios'!G111/'1_Precios'!G110-1</f>
        <v>0</v>
      </c>
    </row>
    <row r="112" spans="1:7">
      <c r="A112" s="12">
        <f>'1_Precios'!A112</f>
        <v>0</v>
      </c>
      <c r="B112" s="13">
        <f>'1_Precios'!B112/'1_Precios'!B111-1</f>
        <v>0</v>
      </c>
      <c r="C112" s="13">
        <f>'1_Precios'!C112/'1_Precios'!C111-1</f>
        <v>0</v>
      </c>
      <c r="D112" s="13">
        <f>'1_Precios'!D112/'1_Precios'!D111-1</f>
        <v>0</v>
      </c>
      <c r="E112" s="13">
        <f>'1_Precios'!E112/'1_Precios'!E111-1</f>
        <v>0</v>
      </c>
      <c r="F112" s="13">
        <f>'1_Precios'!F112/'1_Precios'!F111-1</f>
        <v>0</v>
      </c>
      <c r="G112" s="13">
        <f>'1_Precios'!G112/'1_Precios'!G111-1</f>
        <v>0</v>
      </c>
    </row>
    <row r="113" spans="1:7">
      <c r="A113" s="12">
        <f>'1_Precios'!A113</f>
        <v>0</v>
      </c>
      <c r="B113" s="13">
        <f>'1_Precios'!B113/'1_Precios'!B112-1</f>
        <v>0</v>
      </c>
      <c r="C113" s="13">
        <f>'1_Precios'!C113/'1_Precios'!C112-1</f>
        <v>0</v>
      </c>
      <c r="D113" s="13">
        <f>'1_Precios'!D113/'1_Precios'!D112-1</f>
        <v>0</v>
      </c>
      <c r="E113" s="13">
        <f>'1_Precios'!E113/'1_Precios'!E112-1</f>
        <v>0</v>
      </c>
      <c r="F113" s="13">
        <f>'1_Precios'!F113/'1_Precios'!F112-1</f>
        <v>0</v>
      </c>
      <c r="G113" s="13">
        <f>'1_Precios'!G113/'1_Precios'!G112-1</f>
        <v>0</v>
      </c>
    </row>
    <row r="114" spans="1:7">
      <c r="A114" s="12">
        <f>'1_Precios'!A114</f>
        <v>0</v>
      </c>
      <c r="B114" s="13">
        <f>'1_Precios'!B114/'1_Precios'!B113-1</f>
        <v>0</v>
      </c>
      <c r="C114" s="13">
        <f>'1_Precios'!C114/'1_Precios'!C113-1</f>
        <v>0</v>
      </c>
      <c r="D114" s="13">
        <f>'1_Precios'!D114/'1_Precios'!D113-1</f>
        <v>0</v>
      </c>
      <c r="E114" s="13">
        <f>'1_Precios'!E114/'1_Precios'!E113-1</f>
        <v>0</v>
      </c>
      <c r="F114" s="13">
        <f>'1_Precios'!F114/'1_Precios'!F113-1</f>
        <v>0</v>
      </c>
      <c r="G114" s="13">
        <f>'1_Precios'!G114/'1_Precios'!G113-1</f>
        <v>0</v>
      </c>
    </row>
    <row r="115" spans="1:7">
      <c r="A115" s="12">
        <f>'1_Precios'!A115</f>
        <v>0</v>
      </c>
      <c r="B115" s="13">
        <f>'1_Precios'!B115/'1_Precios'!B114-1</f>
        <v>0</v>
      </c>
      <c r="C115" s="13">
        <f>'1_Precios'!C115/'1_Precios'!C114-1</f>
        <v>0</v>
      </c>
      <c r="D115" s="13">
        <f>'1_Precios'!D115/'1_Precios'!D114-1</f>
        <v>0</v>
      </c>
      <c r="E115" s="13">
        <f>'1_Precios'!E115/'1_Precios'!E114-1</f>
        <v>0</v>
      </c>
      <c r="F115" s="13">
        <f>'1_Precios'!F115/'1_Precios'!F114-1</f>
        <v>0</v>
      </c>
      <c r="G115" s="13">
        <f>'1_Precios'!G115/'1_Precios'!G114-1</f>
        <v>0</v>
      </c>
    </row>
    <row r="116" spans="1:7">
      <c r="A116" s="12">
        <f>'1_Precios'!A116</f>
        <v>0</v>
      </c>
      <c r="B116" s="13">
        <f>'1_Precios'!B116/'1_Precios'!B115-1</f>
        <v>0</v>
      </c>
      <c r="C116" s="13">
        <f>'1_Precios'!C116/'1_Precios'!C115-1</f>
        <v>0</v>
      </c>
      <c r="D116" s="13">
        <f>'1_Precios'!D116/'1_Precios'!D115-1</f>
        <v>0</v>
      </c>
      <c r="E116" s="13">
        <f>'1_Precios'!E116/'1_Precios'!E115-1</f>
        <v>0</v>
      </c>
      <c r="F116" s="13">
        <f>'1_Precios'!F116/'1_Precios'!F115-1</f>
        <v>0</v>
      </c>
      <c r="G116" s="13">
        <f>'1_Precios'!G116/'1_Precios'!G115-1</f>
        <v>0</v>
      </c>
    </row>
    <row r="117" spans="1:7">
      <c r="A117" s="12">
        <f>'1_Precios'!A117</f>
        <v>0</v>
      </c>
      <c r="B117" s="13">
        <f>'1_Precios'!B117/'1_Precios'!B116-1</f>
        <v>0</v>
      </c>
      <c r="C117" s="13">
        <f>'1_Precios'!C117/'1_Precios'!C116-1</f>
        <v>0</v>
      </c>
      <c r="D117" s="13">
        <f>'1_Precios'!D117/'1_Precios'!D116-1</f>
        <v>0</v>
      </c>
      <c r="E117" s="13">
        <f>'1_Precios'!E117/'1_Precios'!E116-1</f>
        <v>0</v>
      </c>
      <c r="F117" s="13">
        <f>'1_Precios'!F117/'1_Precios'!F116-1</f>
        <v>0</v>
      </c>
      <c r="G117" s="13">
        <f>'1_Precios'!G117/'1_Precios'!G116-1</f>
        <v>0</v>
      </c>
    </row>
    <row r="118" spans="1:7">
      <c r="A118" s="12">
        <f>'1_Precios'!A118</f>
        <v>0</v>
      </c>
      <c r="B118" s="13">
        <f>'1_Precios'!B118/'1_Precios'!B117-1</f>
        <v>0</v>
      </c>
      <c r="C118" s="13">
        <f>'1_Precios'!C118/'1_Precios'!C117-1</f>
        <v>0</v>
      </c>
      <c r="D118" s="13">
        <f>'1_Precios'!D118/'1_Precios'!D117-1</f>
        <v>0</v>
      </c>
      <c r="E118" s="13">
        <f>'1_Precios'!E118/'1_Precios'!E117-1</f>
        <v>0</v>
      </c>
      <c r="F118" s="13">
        <f>'1_Precios'!F118/'1_Precios'!F117-1</f>
        <v>0</v>
      </c>
      <c r="G118" s="13">
        <f>'1_Precios'!G118/'1_Precios'!G117-1</f>
        <v>0</v>
      </c>
    </row>
    <row r="119" spans="1:7">
      <c r="A119" s="12">
        <f>'1_Precios'!A119</f>
        <v>0</v>
      </c>
      <c r="B119" s="13">
        <f>'1_Precios'!B119/'1_Precios'!B118-1</f>
        <v>0</v>
      </c>
      <c r="C119" s="13">
        <f>'1_Precios'!C119/'1_Precios'!C118-1</f>
        <v>0</v>
      </c>
      <c r="D119" s="13">
        <f>'1_Precios'!D119/'1_Precios'!D118-1</f>
        <v>0</v>
      </c>
      <c r="E119" s="13">
        <f>'1_Precios'!E119/'1_Precios'!E118-1</f>
        <v>0</v>
      </c>
      <c r="F119" s="13">
        <f>'1_Precios'!F119/'1_Precios'!F118-1</f>
        <v>0</v>
      </c>
      <c r="G119" s="13">
        <f>'1_Precios'!G119/'1_Precios'!G118-1</f>
        <v>0</v>
      </c>
    </row>
    <row r="120" spans="1:7">
      <c r="A120" s="12">
        <f>'1_Precios'!A120</f>
        <v>0</v>
      </c>
      <c r="B120" s="13">
        <f>'1_Precios'!B120/'1_Precios'!B119-1</f>
        <v>0</v>
      </c>
      <c r="C120" s="13">
        <f>'1_Precios'!C120/'1_Precios'!C119-1</f>
        <v>0</v>
      </c>
      <c r="D120" s="13">
        <f>'1_Precios'!D120/'1_Precios'!D119-1</f>
        <v>0</v>
      </c>
      <c r="E120" s="13">
        <f>'1_Precios'!E120/'1_Precios'!E119-1</f>
        <v>0</v>
      </c>
      <c r="F120" s="13">
        <f>'1_Precios'!F120/'1_Precios'!F119-1</f>
        <v>0</v>
      </c>
      <c r="G120" s="13">
        <f>'1_Precios'!G120/'1_Precios'!G119-1</f>
        <v>0</v>
      </c>
    </row>
    <row r="121" spans="1:7">
      <c r="A121" s="12">
        <f>'1_Precios'!A121</f>
        <v>0</v>
      </c>
      <c r="B121" s="13">
        <f>'1_Precios'!B121/'1_Precios'!B120-1</f>
        <v>0</v>
      </c>
      <c r="C121" s="13">
        <f>'1_Precios'!C121/'1_Precios'!C120-1</f>
        <v>0</v>
      </c>
      <c r="D121" s="13">
        <f>'1_Precios'!D121/'1_Precios'!D120-1</f>
        <v>0</v>
      </c>
      <c r="E121" s="13">
        <f>'1_Precios'!E121/'1_Precios'!E120-1</f>
        <v>0</v>
      </c>
      <c r="F121" s="13">
        <f>'1_Precios'!F121/'1_Precios'!F120-1</f>
        <v>0</v>
      </c>
      <c r="G121" s="13">
        <f>'1_Precios'!G121/'1_Precios'!G120-1</f>
        <v>0</v>
      </c>
    </row>
    <row r="122" spans="1:7">
      <c r="A122" s="12">
        <f>'1_Precios'!A122</f>
        <v>0</v>
      </c>
      <c r="B122" s="13">
        <f>'1_Precios'!B122/'1_Precios'!B121-1</f>
        <v>0</v>
      </c>
      <c r="C122" s="13">
        <f>'1_Precios'!C122/'1_Precios'!C121-1</f>
        <v>0</v>
      </c>
      <c r="D122" s="13">
        <f>'1_Precios'!D122/'1_Precios'!D121-1</f>
        <v>0</v>
      </c>
      <c r="E122" s="13">
        <f>'1_Precios'!E122/'1_Precios'!E121-1</f>
        <v>0</v>
      </c>
      <c r="F122" s="13">
        <f>'1_Precios'!F122/'1_Precios'!F121-1</f>
        <v>0</v>
      </c>
      <c r="G122" s="13">
        <f>'1_Precios'!G122/'1_Precios'!G121-1</f>
        <v>0</v>
      </c>
    </row>
    <row r="123" spans="1:7">
      <c r="A123" s="12">
        <f>'1_Precios'!A123</f>
        <v>0</v>
      </c>
      <c r="B123" s="13">
        <f>'1_Precios'!B123/'1_Precios'!B122-1</f>
        <v>0</v>
      </c>
      <c r="C123" s="13">
        <f>'1_Precios'!C123/'1_Precios'!C122-1</f>
        <v>0</v>
      </c>
      <c r="D123" s="13">
        <f>'1_Precios'!D123/'1_Precios'!D122-1</f>
        <v>0</v>
      </c>
      <c r="E123" s="13">
        <f>'1_Precios'!E123/'1_Precios'!E122-1</f>
        <v>0</v>
      </c>
      <c r="F123" s="13">
        <f>'1_Precios'!F123/'1_Precios'!F122-1</f>
        <v>0</v>
      </c>
      <c r="G123" s="13">
        <f>'1_Precios'!G123/'1_Precios'!G122-1</f>
        <v>0</v>
      </c>
    </row>
    <row r="124" spans="1:7">
      <c r="A124" s="12">
        <f>'1_Precios'!A124</f>
        <v>0</v>
      </c>
      <c r="B124" s="13">
        <f>'1_Precios'!B124/'1_Precios'!B123-1</f>
        <v>0</v>
      </c>
      <c r="C124" s="13">
        <f>'1_Precios'!C124/'1_Precios'!C123-1</f>
        <v>0</v>
      </c>
      <c r="D124" s="13">
        <f>'1_Precios'!D124/'1_Precios'!D123-1</f>
        <v>0</v>
      </c>
      <c r="E124" s="13">
        <f>'1_Precios'!E124/'1_Precios'!E123-1</f>
        <v>0</v>
      </c>
      <c r="F124" s="13">
        <f>'1_Precios'!F124/'1_Precios'!F123-1</f>
        <v>0</v>
      </c>
      <c r="G124" s="13">
        <f>'1_Precios'!G124/'1_Precios'!G123-1</f>
        <v>0</v>
      </c>
    </row>
    <row r="125" spans="1:7">
      <c r="A125" s="12">
        <f>'1_Precios'!A125</f>
        <v>0</v>
      </c>
      <c r="B125" s="13">
        <f>'1_Precios'!B125/'1_Precios'!B124-1</f>
        <v>0</v>
      </c>
      <c r="C125" s="13">
        <f>'1_Precios'!C125/'1_Precios'!C124-1</f>
        <v>0</v>
      </c>
      <c r="D125" s="13">
        <f>'1_Precios'!D125/'1_Precios'!D124-1</f>
        <v>0</v>
      </c>
      <c r="E125" s="13">
        <f>'1_Precios'!E125/'1_Precios'!E124-1</f>
        <v>0</v>
      </c>
      <c r="F125" s="13">
        <f>'1_Precios'!F125/'1_Precios'!F124-1</f>
        <v>0</v>
      </c>
      <c r="G125" s="13">
        <f>'1_Precios'!G125/'1_Precios'!G124-1</f>
        <v>0</v>
      </c>
    </row>
    <row r="126" spans="1:7">
      <c r="A126" s="12">
        <f>'1_Precios'!A126</f>
        <v>0</v>
      </c>
      <c r="B126" s="13">
        <f>'1_Precios'!B126/'1_Precios'!B125-1</f>
        <v>0</v>
      </c>
      <c r="C126" s="13">
        <f>'1_Precios'!C126/'1_Precios'!C125-1</f>
        <v>0</v>
      </c>
      <c r="D126" s="13">
        <f>'1_Precios'!D126/'1_Precios'!D125-1</f>
        <v>0</v>
      </c>
      <c r="E126" s="13">
        <f>'1_Precios'!E126/'1_Precios'!E125-1</f>
        <v>0</v>
      </c>
      <c r="F126" s="13">
        <f>'1_Precios'!F126/'1_Precios'!F125-1</f>
        <v>0</v>
      </c>
      <c r="G126" s="13">
        <f>'1_Precios'!G126/'1_Precios'!G125-1</f>
        <v>0</v>
      </c>
    </row>
    <row r="127" spans="1:7">
      <c r="A127" s="12">
        <f>'1_Precios'!A127</f>
        <v>0</v>
      </c>
      <c r="B127" s="13">
        <f>'1_Precios'!B127/'1_Precios'!B126-1</f>
        <v>0</v>
      </c>
      <c r="C127" s="13">
        <f>'1_Precios'!C127/'1_Precios'!C126-1</f>
        <v>0</v>
      </c>
      <c r="D127" s="13">
        <f>'1_Precios'!D127/'1_Precios'!D126-1</f>
        <v>0</v>
      </c>
      <c r="E127" s="13">
        <f>'1_Precios'!E127/'1_Precios'!E126-1</f>
        <v>0</v>
      </c>
      <c r="F127" s="13">
        <f>'1_Precios'!F127/'1_Precios'!F126-1</f>
        <v>0</v>
      </c>
      <c r="G127" s="13">
        <f>'1_Precios'!G127/'1_Precios'!G126-1</f>
        <v>0</v>
      </c>
    </row>
    <row r="128" spans="1:7">
      <c r="A128" s="12">
        <f>'1_Precios'!A128</f>
        <v>0</v>
      </c>
      <c r="B128" s="13">
        <f>'1_Precios'!B128/'1_Precios'!B127-1</f>
        <v>0</v>
      </c>
      <c r="C128" s="13">
        <f>'1_Precios'!C128/'1_Precios'!C127-1</f>
        <v>0</v>
      </c>
      <c r="D128" s="13">
        <f>'1_Precios'!D128/'1_Precios'!D127-1</f>
        <v>0</v>
      </c>
      <c r="E128" s="13">
        <f>'1_Precios'!E128/'1_Precios'!E127-1</f>
        <v>0</v>
      </c>
      <c r="F128" s="13">
        <f>'1_Precios'!F128/'1_Precios'!F127-1</f>
        <v>0</v>
      </c>
      <c r="G128" s="13">
        <f>'1_Precios'!G128/'1_Precios'!G127-1</f>
        <v>0</v>
      </c>
    </row>
    <row r="129" spans="1:7">
      <c r="A129" s="12">
        <f>'1_Precios'!A129</f>
        <v>0</v>
      </c>
      <c r="B129" s="13">
        <f>'1_Precios'!B129/'1_Precios'!B128-1</f>
        <v>0</v>
      </c>
      <c r="C129" s="13">
        <f>'1_Precios'!C129/'1_Precios'!C128-1</f>
        <v>0</v>
      </c>
      <c r="D129" s="13">
        <f>'1_Precios'!D129/'1_Precios'!D128-1</f>
        <v>0</v>
      </c>
      <c r="E129" s="13">
        <f>'1_Precios'!E129/'1_Precios'!E128-1</f>
        <v>0</v>
      </c>
      <c r="F129" s="13">
        <f>'1_Precios'!F129/'1_Precios'!F128-1</f>
        <v>0</v>
      </c>
      <c r="G129" s="13">
        <f>'1_Precios'!G129/'1_Precios'!G128-1</f>
        <v>0</v>
      </c>
    </row>
    <row r="130" spans="1:7">
      <c r="A130" s="12">
        <f>'1_Precios'!A130</f>
        <v>0</v>
      </c>
      <c r="B130" s="13">
        <f>'1_Precios'!B130/'1_Precios'!B129-1</f>
        <v>0</v>
      </c>
      <c r="C130" s="13">
        <f>'1_Precios'!C130/'1_Precios'!C129-1</f>
        <v>0</v>
      </c>
      <c r="D130" s="13">
        <f>'1_Precios'!D130/'1_Precios'!D129-1</f>
        <v>0</v>
      </c>
      <c r="E130" s="13">
        <f>'1_Precios'!E130/'1_Precios'!E129-1</f>
        <v>0</v>
      </c>
      <c r="F130" s="13">
        <f>'1_Precios'!F130/'1_Precios'!F129-1</f>
        <v>0</v>
      </c>
      <c r="G130" s="13">
        <f>'1_Precios'!G130/'1_Precios'!G129-1</f>
        <v>0</v>
      </c>
    </row>
    <row r="131" spans="1:7">
      <c r="A131" s="12">
        <f>'1_Precios'!A131</f>
        <v>0</v>
      </c>
      <c r="B131" s="13">
        <f>'1_Precios'!B131/'1_Precios'!B130-1</f>
        <v>0</v>
      </c>
      <c r="C131" s="13">
        <f>'1_Precios'!C131/'1_Precios'!C130-1</f>
        <v>0</v>
      </c>
      <c r="D131" s="13">
        <f>'1_Precios'!D131/'1_Precios'!D130-1</f>
        <v>0</v>
      </c>
      <c r="E131" s="13">
        <f>'1_Precios'!E131/'1_Precios'!E130-1</f>
        <v>0</v>
      </c>
      <c r="F131" s="13">
        <f>'1_Precios'!F131/'1_Precios'!F130-1</f>
        <v>0</v>
      </c>
      <c r="G131" s="13">
        <f>'1_Precios'!G131/'1_Precios'!G130-1</f>
        <v>0</v>
      </c>
    </row>
    <row r="132" spans="1:7">
      <c r="A132" s="12">
        <f>'1_Precios'!A132</f>
        <v>0</v>
      </c>
      <c r="B132" s="13">
        <f>'1_Precios'!B132/'1_Precios'!B131-1</f>
        <v>0</v>
      </c>
      <c r="C132" s="13">
        <f>'1_Precios'!C132/'1_Precios'!C131-1</f>
        <v>0</v>
      </c>
      <c r="D132" s="13">
        <f>'1_Precios'!D132/'1_Precios'!D131-1</f>
        <v>0</v>
      </c>
      <c r="E132" s="13">
        <f>'1_Precios'!E132/'1_Precios'!E131-1</f>
        <v>0</v>
      </c>
      <c r="F132" s="13">
        <f>'1_Precios'!F132/'1_Precios'!F131-1</f>
        <v>0</v>
      </c>
      <c r="G132" s="13">
        <f>'1_Precios'!G132/'1_Precios'!G131-1</f>
        <v>0</v>
      </c>
    </row>
    <row r="133" spans="1:7">
      <c r="A133" s="12">
        <f>'1_Precios'!A133</f>
        <v>0</v>
      </c>
      <c r="B133" s="13">
        <f>'1_Precios'!B133/'1_Precios'!B132-1</f>
        <v>0</v>
      </c>
      <c r="C133" s="13">
        <f>'1_Precios'!C133/'1_Precios'!C132-1</f>
        <v>0</v>
      </c>
      <c r="D133" s="13">
        <f>'1_Precios'!D133/'1_Precios'!D132-1</f>
        <v>0</v>
      </c>
      <c r="E133" s="13">
        <f>'1_Precios'!E133/'1_Precios'!E132-1</f>
        <v>0</v>
      </c>
      <c r="F133" s="13">
        <f>'1_Precios'!F133/'1_Precios'!F132-1</f>
        <v>0</v>
      </c>
      <c r="G133" s="13">
        <f>'1_Precios'!G133/'1_Precios'!G132-1</f>
        <v>0</v>
      </c>
    </row>
    <row r="134" spans="1:7">
      <c r="A134" s="12">
        <f>'1_Precios'!A134</f>
        <v>0</v>
      </c>
      <c r="B134" s="13">
        <f>'1_Precios'!B134/'1_Precios'!B133-1</f>
        <v>0</v>
      </c>
      <c r="C134" s="13">
        <f>'1_Precios'!C134/'1_Precios'!C133-1</f>
        <v>0</v>
      </c>
      <c r="D134" s="13">
        <f>'1_Precios'!D134/'1_Precios'!D133-1</f>
        <v>0</v>
      </c>
      <c r="E134" s="13">
        <f>'1_Precios'!E134/'1_Precios'!E133-1</f>
        <v>0</v>
      </c>
      <c r="F134" s="13">
        <f>'1_Precios'!F134/'1_Precios'!F133-1</f>
        <v>0</v>
      </c>
      <c r="G134" s="13">
        <f>'1_Precios'!G134/'1_Precios'!G133-1</f>
        <v>0</v>
      </c>
    </row>
    <row r="135" spans="1:7">
      <c r="A135" s="12">
        <f>'1_Precios'!A135</f>
        <v>0</v>
      </c>
      <c r="B135" s="13">
        <f>'1_Precios'!B135/'1_Precios'!B134-1</f>
        <v>0</v>
      </c>
      <c r="C135" s="13">
        <f>'1_Precios'!C135/'1_Precios'!C134-1</f>
        <v>0</v>
      </c>
      <c r="D135" s="13">
        <f>'1_Precios'!D135/'1_Precios'!D134-1</f>
        <v>0</v>
      </c>
      <c r="E135" s="13">
        <f>'1_Precios'!E135/'1_Precios'!E134-1</f>
        <v>0</v>
      </c>
      <c r="F135" s="13">
        <f>'1_Precios'!F135/'1_Precios'!F134-1</f>
        <v>0</v>
      </c>
      <c r="G135" s="13">
        <f>'1_Precios'!G135/'1_Precios'!G134-1</f>
        <v>0</v>
      </c>
    </row>
    <row r="136" spans="1:7">
      <c r="A136" s="12">
        <f>'1_Precios'!A136</f>
        <v>0</v>
      </c>
      <c r="B136" s="13">
        <f>'1_Precios'!B136/'1_Precios'!B135-1</f>
        <v>0</v>
      </c>
      <c r="C136" s="13">
        <f>'1_Precios'!C136/'1_Precios'!C135-1</f>
        <v>0</v>
      </c>
      <c r="D136" s="13">
        <f>'1_Precios'!D136/'1_Precios'!D135-1</f>
        <v>0</v>
      </c>
      <c r="E136" s="13">
        <f>'1_Precios'!E136/'1_Precios'!E135-1</f>
        <v>0</v>
      </c>
      <c r="F136" s="13">
        <f>'1_Precios'!F136/'1_Precios'!F135-1</f>
        <v>0</v>
      </c>
      <c r="G136" s="13">
        <f>'1_Precios'!G136/'1_Precios'!G135-1</f>
        <v>0</v>
      </c>
    </row>
    <row r="137" spans="1:7">
      <c r="A137" s="12">
        <f>'1_Precios'!A137</f>
        <v>0</v>
      </c>
      <c r="B137" s="13">
        <f>'1_Precios'!B137/'1_Precios'!B136-1</f>
        <v>0</v>
      </c>
      <c r="C137" s="13">
        <f>'1_Precios'!C137/'1_Precios'!C136-1</f>
        <v>0</v>
      </c>
      <c r="D137" s="13">
        <f>'1_Precios'!D137/'1_Precios'!D136-1</f>
        <v>0</v>
      </c>
      <c r="E137" s="13">
        <f>'1_Precios'!E137/'1_Precios'!E136-1</f>
        <v>0</v>
      </c>
      <c r="F137" s="13">
        <f>'1_Precios'!F137/'1_Precios'!F136-1</f>
        <v>0</v>
      </c>
      <c r="G137" s="13">
        <f>'1_Precios'!G137/'1_Precios'!G136-1</f>
        <v>0</v>
      </c>
    </row>
    <row r="138" spans="1:7">
      <c r="A138" s="12">
        <f>'1_Precios'!A138</f>
        <v>0</v>
      </c>
      <c r="B138" s="13">
        <f>'1_Precios'!B138/'1_Precios'!B137-1</f>
        <v>0</v>
      </c>
      <c r="C138" s="13">
        <f>'1_Precios'!C138/'1_Precios'!C137-1</f>
        <v>0</v>
      </c>
      <c r="D138" s="13">
        <f>'1_Precios'!D138/'1_Precios'!D137-1</f>
        <v>0</v>
      </c>
      <c r="E138" s="13">
        <f>'1_Precios'!E138/'1_Precios'!E137-1</f>
        <v>0</v>
      </c>
      <c r="F138" s="13">
        <f>'1_Precios'!F138/'1_Precios'!F137-1</f>
        <v>0</v>
      </c>
      <c r="G138" s="13">
        <f>'1_Precios'!G138/'1_Precios'!G137-1</f>
        <v>0</v>
      </c>
    </row>
    <row r="139" spans="1:7">
      <c r="A139" s="12">
        <f>'1_Precios'!A139</f>
        <v>0</v>
      </c>
      <c r="B139" s="13">
        <f>'1_Precios'!B139/'1_Precios'!B138-1</f>
        <v>0</v>
      </c>
      <c r="C139" s="13">
        <f>'1_Precios'!C139/'1_Precios'!C138-1</f>
        <v>0</v>
      </c>
      <c r="D139" s="13">
        <f>'1_Precios'!D139/'1_Precios'!D138-1</f>
        <v>0</v>
      </c>
      <c r="E139" s="13">
        <f>'1_Precios'!E139/'1_Precios'!E138-1</f>
        <v>0</v>
      </c>
      <c r="F139" s="13">
        <f>'1_Precios'!F139/'1_Precios'!F138-1</f>
        <v>0</v>
      </c>
      <c r="G139" s="13">
        <f>'1_Precios'!G139/'1_Precios'!G138-1</f>
        <v>0</v>
      </c>
    </row>
    <row r="140" spans="1:7">
      <c r="A140" s="12">
        <f>'1_Precios'!A140</f>
        <v>0</v>
      </c>
      <c r="B140" s="13">
        <f>'1_Precios'!B140/'1_Precios'!B139-1</f>
        <v>0</v>
      </c>
      <c r="C140" s="13">
        <f>'1_Precios'!C140/'1_Precios'!C139-1</f>
        <v>0</v>
      </c>
      <c r="D140" s="13">
        <f>'1_Precios'!D140/'1_Precios'!D139-1</f>
        <v>0</v>
      </c>
      <c r="E140" s="13">
        <f>'1_Precios'!E140/'1_Precios'!E139-1</f>
        <v>0</v>
      </c>
      <c r="F140" s="13">
        <f>'1_Precios'!F140/'1_Precios'!F139-1</f>
        <v>0</v>
      </c>
      <c r="G140" s="13">
        <f>'1_Precios'!G140/'1_Precios'!G139-1</f>
        <v>0</v>
      </c>
    </row>
    <row r="141" spans="1:7">
      <c r="A141" s="12">
        <f>'1_Precios'!A141</f>
        <v>0</v>
      </c>
      <c r="B141" s="13">
        <f>'1_Precios'!B141/'1_Precios'!B140-1</f>
        <v>0</v>
      </c>
      <c r="C141" s="13">
        <f>'1_Precios'!C141/'1_Precios'!C140-1</f>
        <v>0</v>
      </c>
      <c r="D141" s="13">
        <f>'1_Precios'!D141/'1_Precios'!D140-1</f>
        <v>0</v>
      </c>
      <c r="E141" s="13">
        <f>'1_Precios'!E141/'1_Precios'!E140-1</f>
        <v>0</v>
      </c>
      <c r="F141" s="13">
        <f>'1_Precios'!F141/'1_Precios'!F140-1</f>
        <v>0</v>
      </c>
      <c r="G141" s="13">
        <f>'1_Precios'!G141/'1_Precios'!G140-1</f>
        <v>0</v>
      </c>
    </row>
    <row r="142" spans="1:7">
      <c r="A142" s="12">
        <f>'1_Precios'!A142</f>
        <v>0</v>
      </c>
      <c r="B142" s="13">
        <f>'1_Precios'!B142/'1_Precios'!B141-1</f>
        <v>0</v>
      </c>
      <c r="C142" s="13">
        <f>'1_Precios'!C142/'1_Precios'!C141-1</f>
        <v>0</v>
      </c>
      <c r="D142" s="13">
        <f>'1_Precios'!D142/'1_Precios'!D141-1</f>
        <v>0</v>
      </c>
      <c r="E142" s="13">
        <f>'1_Precios'!E142/'1_Precios'!E141-1</f>
        <v>0</v>
      </c>
      <c r="F142" s="13">
        <f>'1_Precios'!F142/'1_Precios'!F141-1</f>
        <v>0</v>
      </c>
      <c r="G142" s="13">
        <f>'1_Precios'!G142/'1_Precios'!G141-1</f>
        <v>0</v>
      </c>
    </row>
    <row r="143" spans="1:7">
      <c r="A143" s="12">
        <f>'1_Precios'!A143</f>
        <v>0</v>
      </c>
      <c r="B143" s="13">
        <f>'1_Precios'!B143/'1_Precios'!B142-1</f>
        <v>0</v>
      </c>
      <c r="C143" s="13">
        <f>'1_Precios'!C143/'1_Precios'!C142-1</f>
        <v>0</v>
      </c>
      <c r="D143" s="13">
        <f>'1_Precios'!D143/'1_Precios'!D142-1</f>
        <v>0</v>
      </c>
      <c r="E143" s="13">
        <f>'1_Precios'!E143/'1_Precios'!E142-1</f>
        <v>0</v>
      </c>
      <c r="F143" s="13">
        <f>'1_Precios'!F143/'1_Precios'!F142-1</f>
        <v>0</v>
      </c>
      <c r="G143" s="13">
        <f>'1_Precios'!G143/'1_Precios'!G142-1</f>
        <v>0</v>
      </c>
    </row>
    <row r="144" spans="1:7">
      <c r="A144" s="12">
        <f>'1_Precios'!A144</f>
        <v>0</v>
      </c>
      <c r="B144" s="13">
        <f>'1_Precios'!B144/'1_Precios'!B143-1</f>
        <v>0</v>
      </c>
      <c r="C144" s="13">
        <f>'1_Precios'!C144/'1_Precios'!C143-1</f>
        <v>0</v>
      </c>
      <c r="D144" s="13">
        <f>'1_Precios'!D144/'1_Precios'!D143-1</f>
        <v>0</v>
      </c>
      <c r="E144" s="13">
        <f>'1_Precios'!E144/'1_Precios'!E143-1</f>
        <v>0</v>
      </c>
      <c r="F144" s="13">
        <f>'1_Precios'!F144/'1_Precios'!F143-1</f>
        <v>0</v>
      </c>
      <c r="G144" s="13">
        <f>'1_Precios'!G144/'1_Precios'!G143-1</f>
        <v>0</v>
      </c>
    </row>
    <row r="145" spans="1:7">
      <c r="A145" s="12">
        <f>'1_Precios'!A145</f>
        <v>0</v>
      </c>
      <c r="B145" s="13">
        <f>'1_Precios'!B145/'1_Precios'!B144-1</f>
        <v>0</v>
      </c>
      <c r="C145" s="13">
        <f>'1_Precios'!C145/'1_Precios'!C144-1</f>
        <v>0</v>
      </c>
      <c r="D145" s="13">
        <f>'1_Precios'!D145/'1_Precios'!D144-1</f>
        <v>0</v>
      </c>
      <c r="E145" s="13">
        <f>'1_Precios'!E145/'1_Precios'!E144-1</f>
        <v>0</v>
      </c>
      <c r="F145" s="13">
        <f>'1_Precios'!F145/'1_Precios'!F144-1</f>
        <v>0</v>
      </c>
      <c r="G145" s="13">
        <f>'1_Precios'!G145/'1_Precios'!G144-1</f>
        <v>0</v>
      </c>
    </row>
    <row r="146" spans="1:7">
      <c r="A146" s="12">
        <f>'1_Precios'!A146</f>
        <v>0</v>
      </c>
      <c r="B146" s="13">
        <f>'1_Precios'!B146/'1_Precios'!B145-1</f>
        <v>0</v>
      </c>
      <c r="C146" s="13">
        <f>'1_Precios'!C146/'1_Precios'!C145-1</f>
        <v>0</v>
      </c>
      <c r="D146" s="13">
        <f>'1_Precios'!D146/'1_Precios'!D145-1</f>
        <v>0</v>
      </c>
      <c r="E146" s="13">
        <f>'1_Precios'!E146/'1_Precios'!E145-1</f>
        <v>0</v>
      </c>
      <c r="F146" s="13">
        <f>'1_Precios'!F146/'1_Precios'!F145-1</f>
        <v>0</v>
      </c>
      <c r="G146" s="13">
        <f>'1_Precios'!G146/'1_Precios'!G145-1</f>
        <v>0</v>
      </c>
    </row>
    <row r="147" spans="1:7">
      <c r="A147" s="12">
        <f>'1_Precios'!A147</f>
        <v>0</v>
      </c>
      <c r="B147" s="13">
        <f>'1_Precios'!B147/'1_Precios'!B146-1</f>
        <v>0</v>
      </c>
      <c r="C147" s="13">
        <f>'1_Precios'!C147/'1_Precios'!C146-1</f>
        <v>0</v>
      </c>
      <c r="D147" s="13">
        <f>'1_Precios'!D147/'1_Precios'!D146-1</f>
        <v>0</v>
      </c>
      <c r="E147" s="13">
        <f>'1_Precios'!E147/'1_Precios'!E146-1</f>
        <v>0</v>
      </c>
      <c r="F147" s="13">
        <f>'1_Precios'!F147/'1_Precios'!F146-1</f>
        <v>0</v>
      </c>
      <c r="G147" s="13">
        <f>'1_Precios'!G147/'1_Precios'!G146-1</f>
        <v>0</v>
      </c>
    </row>
    <row r="148" spans="1:7">
      <c r="A148" s="12">
        <f>'1_Precios'!A148</f>
        <v>0</v>
      </c>
      <c r="B148" s="13">
        <f>'1_Precios'!B148/'1_Precios'!B147-1</f>
        <v>0</v>
      </c>
      <c r="C148" s="13">
        <f>'1_Precios'!C148/'1_Precios'!C147-1</f>
        <v>0</v>
      </c>
      <c r="D148" s="13">
        <f>'1_Precios'!D148/'1_Precios'!D147-1</f>
        <v>0</v>
      </c>
      <c r="E148" s="13">
        <f>'1_Precios'!E148/'1_Precios'!E147-1</f>
        <v>0</v>
      </c>
      <c r="F148" s="13">
        <f>'1_Precios'!F148/'1_Precios'!F147-1</f>
        <v>0</v>
      </c>
      <c r="G148" s="13">
        <f>'1_Precios'!G148/'1_Precios'!G147-1</f>
        <v>0</v>
      </c>
    </row>
    <row r="149" spans="1:7">
      <c r="A149" s="12">
        <f>'1_Precios'!A149</f>
        <v>0</v>
      </c>
      <c r="B149" s="13">
        <f>'1_Precios'!B149/'1_Precios'!B148-1</f>
        <v>0</v>
      </c>
      <c r="C149" s="13">
        <f>'1_Precios'!C149/'1_Precios'!C148-1</f>
        <v>0</v>
      </c>
      <c r="D149" s="13">
        <f>'1_Precios'!D149/'1_Precios'!D148-1</f>
        <v>0</v>
      </c>
      <c r="E149" s="13">
        <f>'1_Precios'!E149/'1_Precios'!E148-1</f>
        <v>0</v>
      </c>
      <c r="F149" s="13">
        <f>'1_Precios'!F149/'1_Precios'!F148-1</f>
        <v>0</v>
      </c>
      <c r="G149" s="13">
        <f>'1_Precios'!G149/'1_Precios'!G148-1</f>
        <v>0</v>
      </c>
    </row>
    <row r="150" spans="1:7">
      <c r="A150" s="12">
        <f>'1_Precios'!A150</f>
        <v>0</v>
      </c>
      <c r="B150" s="13">
        <f>'1_Precios'!B150/'1_Precios'!B149-1</f>
        <v>0</v>
      </c>
      <c r="C150" s="13">
        <f>'1_Precios'!C150/'1_Precios'!C149-1</f>
        <v>0</v>
      </c>
      <c r="D150" s="13">
        <f>'1_Precios'!D150/'1_Precios'!D149-1</f>
        <v>0</v>
      </c>
      <c r="E150" s="13">
        <f>'1_Precios'!E150/'1_Precios'!E149-1</f>
        <v>0</v>
      </c>
      <c r="F150" s="13">
        <f>'1_Precios'!F150/'1_Precios'!F149-1</f>
        <v>0</v>
      </c>
      <c r="G150" s="13">
        <f>'1_Precios'!G150/'1_Precios'!G149-1</f>
        <v>0</v>
      </c>
    </row>
    <row r="151" spans="1:7">
      <c r="A151" s="12">
        <f>'1_Precios'!A151</f>
        <v>0</v>
      </c>
      <c r="B151" s="13">
        <f>'1_Precios'!B151/'1_Precios'!B150-1</f>
        <v>0</v>
      </c>
      <c r="C151" s="13">
        <f>'1_Precios'!C151/'1_Precios'!C150-1</f>
        <v>0</v>
      </c>
      <c r="D151" s="13">
        <f>'1_Precios'!D151/'1_Precios'!D150-1</f>
        <v>0</v>
      </c>
      <c r="E151" s="13">
        <f>'1_Precios'!E151/'1_Precios'!E150-1</f>
        <v>0</v>
      </c>
      <c r="F151" s="13">
        <f>'1_Precios'!F151/'1_Precios'!F150-1</f>
        <v>0</v>
      </c>
      <c r="G151" s="13">
        <f>'1_Precios'!G151/'1_Precios'!G150-1</f>
        <v>0</v>
      </c>
    </row>
    <row r="152" spans="1:7">
      <c r="A152" s="12">
        <f>'1_Precios'!A152</f>
        <v>0</v>
      </c>
      <c r="B152" s="13">
        <f>'1_Precios'!B152/'1_Precios'!B151-1</f>
        <v>0</v>
      </c>
      <c r="C152" s="13">
        <f>'1_Precios'!C152/'1_Precios'!C151-1</f>
        <v>0</v>
      </c>
      <c r="D152" s="13">
        <f>'1_Precios'!D152/'1_Precios'!D151-1</f>
        <v>0</v>
      </c>
      <c r="E152" s="13">
        <f>'1_Precios'!E152/'1_Precios'!E151-1</f>
        <v>0</v>
      </c>
      <c r="F152" s="13">
        <f>'1_Precios'!F152/'1_Precios'!F151-1</f>
        <v>0</v>
      </c>
      <c r="G152" s="13">
        <f>'1_Precios'!G152/'1_Precios'!G151-1</f>
        <v>0</v>
      </c>
    </row>
    <row r="153" spans="1:7">
      <c r="A153" s="12">
        <f>'1_Precios'!A153</f>
        <v>0</v>
      </c>
      <c r="B153" s="13">
        <f>'1_Precios'!B153/'1_Precios'!B152-1</f>
        <v>0</v>
      </c>
      <c r="C153" s="13">
        <f>'1_Precios'!C153/'1_Precios'!C152-1</f>
        <v>0</v>
      </c>
      <c r="D153" s="13">
        <f>'1_Precios'!D153/'1_Precios'!D152-1</f>
        <v>0</v>
      </c>
      <c r="E153" s="13">
        <f>'1_Precios'!E153/'1_Precios'!E152-1</f>
        <v>0</v>
      </c>
      <c r="F153" s="13">
        <f>'1_Precios'!F153/'1_Precios'!F152-1</f>
        <v>0</v>
      </c>
      <c r="G153" s="13">
        <f>'1_Precios'!G153/'1_Precios'!G152-1</f>
        <v>0</v>
      </c>
    </row>
    <row r="154" spans="1:7">
      <c r="A154" s="12">
        <f>'1_Precios'!A154</f>
        <v>0</v>
      </c>
      <c r="B154" s="13">
        <f>'1_Precios'!B154/'1_Precios'!B153-1</f>
        <v>0</v>
      </c>
      <c r="C154" s="13">
        <f>'1_Precios'!C154/'1_Precios'!C153-1</f>
        <v>0</v>
      </c>
      <c r="D154" s="13">
        <f>'1_Precios'!D154/'1_Precios'!D153-1</f>
        <v>0</v>
      </c>
      <c r="E154" s="13">
        <f>'1_Precios'!E154/'1_Precios'!E153-1</f>
        <v>0</v>
      </c>
      <c r="F154" s="13">
        <f>'1_Precios'!F154/'1_Precios'!F153-1</f>
        <v>0</v>
      </c>
      <c r="G154" s="13">
        <f>'1_Precios'!G154/'1_Precios'!G153-1</f>
        <v>0</v>
      </c>
    </row>
    <row r="155" spans="1:7">
      <c r="A155" s="12">
        <f>'1_Precios'!A155</f>
        <v>0</v>
      </c>
      <c r="B155" s="13">
        <f>'1_Precios'!B155/'1_Precios'!B154-1</f>
        <v>0</v>
      </c>
      <c r="C155" s="13">
        <f>'1_Precios'!C155/'1_Precios'!C154-1</f>
        <v>0</v>
      </c>
      <c r="D155" s="13">
        <f>'1_Precios'!D155/'1_Precios'!D154-1</f>
        <v>0</v>
      </c>
      <c r="E155" s="13">
        <f>'1_Precios'!E155/'1_Precios'!E154-1</f>
        <v>0</v>
      </c>
      <c r="F155" s="13">
        <f>'1_Precios'!F155/'1_Precios'!F154-1</f>
        <v>0</v>
      </c>
      <c r="G155" s="13">
        <f>'1_Precios'!G155/'1_Precios'!G154-1</f>
        <v>0</v>
      </c>
    </row>
    <row r="156" spans="1:7">
      <c r="A156" s="12">
        <f>'1_Precios'!A156</f>
        <v>0</v>
      </c>
      <c r="B156" s="13">
        <f>'1_Precios'!B156/'1_Precios'!B155-1</f>
        <v>0</v>
      </c>
      <c r="C156" s="13">
        <f>'1_Precios'!C156/'1_Precios'!C155-1</f>
        <v>0</v>
      </c>
      <c r="D156" s="13">
        <f>'1_Precios'!D156/'1_Precios'!D155-1</f>
        <v>0</v>
      </c>
      <c r="E156" s="13">
        <f>'1_Precios'!E156/'1_Precios'!E155-1</f>
        <v>0</v>
      </c>
      <c r="F156" s="13">
        <f>'1_Precios'!F156/'1_Precios'!F155-1</f>
        <v>0</v>
      </c>
      <c r="G156" s="13">
        <f>'1_Precios'!G156/'1_Precios'!G155-1</f>
        <v>0</v>
      </c>
    </row>
    <row r="157" spans="1:7">
      <c r="A157" s="12">
        <f>'1_Precios'!A157</f>
        <v>0</v>
      </c>
      <c r="B157" s="13">
        <f>'1_Precios'!B157/'1_Precios'!B156-1</f>
        <v>0</v>
      </c>
      <c r="C157" s="13">
        <f>'1_Precios'!C157/'1_Precios'!C156-1</f>
        <v>0</v>
      </c>
      <c r="D157" s="13">
        <f>'1_Precios'!D157/'1_Precios'!D156-1</f>
        <v>0</v>
      </c>
      <c r="E157" s="13">
        <f>'1_Precios'!E157/'1_Precios'!E156-1</f>
        <v>0</v>
      </c>
      <c r="F157" s="13">
        <f>'1_Precios'!F157/'1_Precios'!F156-1</f>
        <v>0</v>
      </c>
      <c r="G157" s="13">
        <f>'1_Precios'!G157/'1_Precios'!G156-1</f>
        <v>0</v>
      </c>
    </row>
    <row r="158" spans="1:7">
      <c r="A158" s="12">
        <f>'1_Precios'!A158</f>
        <v>0</v>
      </c>
      <c r="B158" s="13">
        <f>'1_Precios'!B158/'1_Precios'!B157-1</f>
        <v>0</v>
      </c>
      <c r="C158" s="13">
        <f>'1_Precios'!C158/'1_Precios'!C157-1</f>
        <v>0</v>
      </c>
      <c r="D158" s="13">
        <f>'1_Precios'!D158/'1_Precios'!D157-1</f>
        <v>0</v>
      </c>
      <c r="E158" s="13">
        <f>'1_Precios'!E158/'1_Precios'!E157-1</f>
        <v>0</v>
      </c>
      <c r="F158" s="13">
        <f>'1_Precios'!F158/'1_Precios'!F157-1</f>
        <v>0</v>
      </c>
      <c r="G158" s="13">
        <f>'1_Precios'!G158/'1_Precios'!G157-1</f>
        <v>0</v>
      </c>
    </row>
    <row r="159" spans="1:7">
      <c r="A159" s="12">
        <f>'1_Precios'!A159</f>
        <v>0</v>
      </c>
      <c r="B159" s="13">
        <f>'1_Precios'!B159/'1_Precios'!B158-1</f>
        <v>0</v>
      </c>
      <c r="C159" s="13">
        <f>'1_Precios'!C159/'1_Precios'!C158-1</f>
        <v>0</v>
      </c>
      <c r="D159" s="13">
        <f>'1_Precios'!D159/'1_Precios'!D158-1</f>
        <v>0</v>
      </c>
      <c r="E159" s="13">
        <f>'1_Precios'!E159/'1_Precios'!E158-1</f>
        <v>0</v>
      </c>
      <c r="F159" s="13">
        <f>'1_Precios'!F159/'1_Precios'!F158-1</f>
        <v>0</v>
      </c>
      <c r="G159" s="13">
        <f>'1_Precios'!G159/'1_Precios'!G158-1</f>
        <v>0</v>
      </c>
    </row>
    <row r="160" spans="1:7">
      <c r="A160" s="12">
        <f>'1_Precios'!A160</f>
        <v>0</v>
      </c>
      <c r="B160" s="13">
        <f>'1_Precios'!B160/'1_Precios'!B159-1</f>
        <v>0</v>
      </c>
      <c r="C160" s="13">
        <f>'1_Precios'!C160/'1_Precios'!C159-1</f>
        <v>0</v>
      </c>
      <c r="D160" s="13">
        <f>'1_Precios'!D160/'1_Precios'!D159-1</f>
        <v>0</v>
      </c>
      <c r="E160" s="13">
        <f>'1_Precios'!E160/'1_Precios'!E159-1</f>
        <v>0</v>
      </c>
      <c r="F160" s="13">
        <f>'1_Precios'!F160/'1_Precios'!F159-1</f>
        <v>0</v>
      </c>
      <c r="G160" s="13">
        <f>'1_Precios'!G160/'1_Precios'!G159-1</f>
        <v>0</v>
      </c>
    </row>
    <row r="161" spans="1:7">
      <c r="A161" s="12">
        <f>'1_Precios'!A161</f>
        <v>0</v>
      </c>
      <c r="B161" s="13">
        <f>'1_Precios'!B161/'1_Precios'!B160-1</f>
        <v>0</v>
      </c>
      <c r="C161" s="13">
        <f>'1_Precios'!C161/'1_Precios'!C160-1</f>
        <v>0</v>
      </c>
      <c r="D161" s="13">
        <f>'1_Precios'!D161/'1_Precios'!D160-1</f>
        <v>0</v>
      </c>
      <c r="E161" s="13">
        <f>'1_Precios'!E161/'1_Precios'!E160-1</f>
        <v>0</v>
      </c>
      <c r="F161" s="13">
        <f>'1_Precios'!F161/'1_Precios'!F160-1</f>
        <v>0</v>
      </c>
      <c r="G161" s="13">
        <f>'1_Precios'!G161/'1_Precios'!G160-1</f>
        <v>0</v>
      </c>
    </row>
    <row r="162" spans="1:7">
      <c r="A162" s="12">
        <f>'1_Precios'!A162</f>
        <v>0</v>
      </c>
      <c r="B162" s="13">
        <f>'1_Precios'!B162/'1_Precios'!B161-1</f>
        <v>0</v>
      </c>
      <c r="C162" s="13">
        <f>'1_Precios'!C162/'1_Precios'!C161-1</f>
        <v>0</v>
      </c>
      <c r="D162" s="13">
        <f>'1_Precios'!D162/'1_Precios'!D161-1</f>
        <v>0</v>
      </c>
      <c r="E162" s="13">
        <f>'1_Precios'!E162/'1_Precios'!E161-1</f>
        <v>0</v>
      </c>
      <c r="F162" s="13">
        <f>'1_Precios'!F162/'1_Precios'!F161-1</f>
        <v>0</v>
      </c>
      <c r="G162" s="13">
        <f>'1_Precios'!G162/'1_Precios'!G161-1</f>
        <v>0</v>
      </c>
    </row>
    <row r="163" spans="1:7">
      <c r="A163" s="12">
        <f>'1_Precios'!A163</f>
        <v>0</v>
      </c>
      <c r="B163" s="13">
        <f>'1_Precios'!B163/'1_Precios'!B162-1</f>
        <v>0</v>
      </c>
      <c r="C163" s="13">
        <f>'1_Precios'!C163/'1_Precios'!C162-1</f>
        <v>0</v>
      </c>
      <c r="D163" s="13">
        <f>'1_Precios'!D163/'1_Precios'!D162-1</f>
        <v>0</v>
      </c>
      <c r="E163" s="13">
        <f>'1_Precios'!E163/'1_Precios'!E162-1</f>
        <v>0</v>
      </c>
      <c r="F163" s="13">
        <f>'1_Precios'!F163/'1_Precios'!F162-1</f>
        <v>0</v>
      </c>
      <c r="G163" s="13">
        <f>'1_Precios'!G163/'1_Precios'!G162-1</f>
        <v>0</v>
      </c>
    </row>
    <row r="164" spans="1:7">
      <c r="A164" s="12">
        <f>'1_Precios'!A164</f>
        <v>0</v>
      </c>
      <c r="B164" s="13">
        <f>'1_Precios'!B164/'1_Precios'!B163-1</f>
        <v>0</v>
      </c>
      <c r="C164" s="13">
        <f>'1_Precios'!C164/'1_Precios'!C163-1</f>
        <v>0</v>
      </c>
      <c r="D164" s="13">
        <f>'1_Precios'!D164/'1_Precios'!D163-1</f>
        <v>0</v>
      </c>
      <c r="E164" s="13">
        <f>'1_Precios'!E164/'1_Precios'!E163-1</f>
        <v>0</v>
      </c>
      <c r="F164" s="13">
        <f>'1_Precios'!F164/'1_Precios'!F163-1</f>
        <v>0</v>
      </c>
      <c r="G164" s="13">
        <f>'1_Precios'!G164/'1_Precios'!G163-1</f>
        <v>0</v>
      </c>
    </row>
    <row r="165" spans="1:7">
      <c r="A165" s="12">
        <f>'1_Precios'!A165</f>
        <v>0</v>
      </c>
      <c r="B165" s="13">
        <f>'1_Precios'!B165/'1_Precios'!B164-1</f>
        <v>0</v>
      </c>
      <c r="C165" s="13">
        <f>'1_Precios'!C165/'1_Precios'!C164-1</f>
        <v>0</v>
      </c>
      <c r="D165" s="13">
        <f>'1_Precios'!D165/'1_Precios'!D164-1</f>
        <v>0</v>
      </c>
      <c r="E165" s="13">
        <f>'1_Precios'!E165/'1_Precios'!E164-1</f>
        <v>0</v>
      </c>
      <c r="F165" s="13">
        <f>'1_Precios'!F165/'1_Precios'!F164-1</f>
        <v>0</v>
      </c>
      <c r="G165" s="13">
        <f>'1_Precios'!G165/'1_Precios'!G164-1</f>
        <v>0</v>
      </c>
    </row>
    <row r="166" spans="1:7">
      <c r="A166" s="12">
        <f>'1_Precios'!A166</f>
        <v>0</v>
      </c>
      <c r="B166" s="13">
        <f>'1_Precios'!B166/'1_Precios'!B165-1</f>
        <v>0</v>
      </c>
      <c r="C166" s="13">
        <f>'1_Precios'!C166/'1_Precios'!C165-1</f>
        <v>0</v>
      </c>
      <c r="D166" s="13">
        <f>'1_Precios'!D166/'1_Precios'!D165-1</f>
        <v>0</v>
      </c>
      <c r="E166" s="13">
        <f>'1_Precios'!E166/'1_Precios'!E165-1</f>
        <v>0</v>
      </c>
      <c r="F166" s="13">
        <f>'1_Precios'!F166/'1_Precios'!F165-1</f>
        <v>0</v>
      </c>
      <c r="G166" s="13">
        <f>'1_Precios'!G166/'1_Precios'!G165-1</f>
        <v>0</v>
      </c>
    </row>
    <row r="167" spans="1:7">
      <c r="A167" s="12">
        <f>'1_Precios'!A167</f>
        <v>0</v>
      </c>
      <c r="B167" s="13">
        <f>'1_Precios'!B167/'1_Precios'!B166-1</f>
        <v>0</v>
      </c>
      <c r="C167" s="13">
        <f>'1_Precios'!C167/'1_Precios'!C166-1</f>
        <v>0</v>
      </c>
      <c r="D167" s="13">
        <f>'1_Precios'!D167/'1_Precios'!D166-1</f>
        <v>0</v>
      </c>
      <c r="E167" s="13">
        <f>'1_Precios'!E167/'1_Precios'!E166-1</f>
        <v>0</v>
      </c>
      <c r="F167" s="13">
        <f>'1_Precios'!F167/'1_Precios'!F166-1</f>
        <v>0</v>
      </c>
      <c r="G167" s="13">
        <f>'1_Precios'!G167/'1_Precios'!G166-1</f>
        <v>0</v>
      </c>
    </row>
    <row r="168" spans="1:7">
      <c r="A168" s="12">
        <f>'1_Precios'!A168</f>
        <v>0</v>
      </c>
      <c r="B168" s="13">
        <f>'1_Precios'!B168/'1_Precios'!B167-1</f>
        <v>0</v>
      </c>
      <c r="C168" s="13">
        <f>'1_Precios'!C168/'1_Precios'!C167-1</f>
        <v>0</v>
      </c>
      <c r="D168" s="13">
        <f>'1_Precios'!D168/'1_Precios'!D167-1</f>
        <v>0</v>
      </c>
      <c r="E168" s="13">
        <f>'1_Precios'!E168/'1_Precios'!E167-1</f>
        <v>0</v>
      </c>
      <c r="F168" s="13">
        <f>'1_Precios'!F168/'1_Precios'!F167-1</f>
        <v>0</v>
      </c>
      <c r="G168" s="13">
        <f>'1_Precios'!G168/'1_Precios'!G167-1</f>
        <v>0</v>
      </c>
    </row>
    <row r="169" spans="1:7">
      <c r="A169" s="12">
        <f>'1_Precios'!A169</f>
        <v>0</v>
      </c>
      <c r="B169" s="13">
        <f>'1_Precios'!B169/'1_Precios'!B168-1</f>
        <v>0</v>
      </c>
      <c r="C169" s="13">
        <f>'1_Precios'!C169/'1_Precios'!C168-1</f>
        <v>0</v>
      </c>
      <c r="D169" s="13">
        <f>'1_Precios'!D169/'1_Precios'!D168-1</f>
        <v>0</v>
      </c>
      <c r="E169" s="13">
        <f>'1_Precios'!E169/'1_Precios'!E168-1</f>
        <v>0</v>
      </c>
      <c r="F169" s="13">
        <f>'1_Precios'!F169/'1_Precios'!F168-1</f>
        <v>0</v>
      </c>
      <c r="G169" s="13">
        <f>'1_Precios'!G169/'1_Precios'!G168-1</f>
        <v>0</v>
      </c>
    </row>
    <row r="170" spans="1:7">
      <c r="A170" s="12">
        <f>'1_Precios'!A170</f>
        <v>0</v>
      </c>
      <c r="B170" s="13">
        <f>'1_Precios'!B170/'1_Precios'!B169-1</f>
        <v>0</v>
      </c>
      <c r="C170" s="13">
        <f>'1_Precios'!C170/'1_Precios'!C169-1</f>
        <v>0</v>
      </c>
      <c r="D170" s="13">
        <f>'1_Precios'!D170/'1_Precios'!D169-1</f>
        <v>0</v>
      </c>
      <c r="E170" s="13">
        <f>'1_Precios'!E170/'1_Precios'!E169-1</f>
        <v>0</v>
      </c>
      <c r="F170" s="13">
        <f>'1_Precios'!F170/'1_Precios'!F169-1</f>
        <v>0</v>
      </c>
      <c r="G170" s="13">
        <f>'1_Precios'!G170/'1_Precios'!G169-1</f>
        <v>0</v>
      </c>
    </row>
    <row r="171" spans="1:7">
      <c r="A171" s="12">
        <f>'1_Precios'!A171</f>
        <v>0</v>
      </c>
      <c r="B171" s="13">
        <f>'1_Precios'!B171/'1_Precios'!B170-1</f>
        <v>0</v>
      </c>
      <c r="C171" s="13">
        <f>'1_Precios'!C171/'1_Precios'!C170-1</f>
        <v>0</v>
      </c>
      <c r="D171" s="13">
        <f>'1_Precios'!D171/'1_Precios'!D170-1</f>
        <v>0</v>
      </c>
      <c r="E171" s="13">
        <f>'1_Precios'!E171/'1_Precios'!E170-1</f>
        <v>0</v>
      </c>
      <c r="F171" s="13">
        <f>'1_Precios'!F171/'1_Precios'!F170-1</f>
        <v>0</v>
      </c>
      <c r="G171" s="13">
        <f>'1_Precios'!G171/'1_Precios'!G170-1</f>
        <v>0</v>
      </c>
    </row>
    <row r="172" spans="1:7">
      <c r="A172" s="12">
        <f>'1_Precios'!A172</f>
        <v>0</v>
      </c>
      <c r="B172" s="13">
        <f>'1_Precios'!B172/'1_Precios'!B171-1</f>
        <v>0</v>
      </c>
      <c r="C172" s="13">
        <f>'1_Precios'!C172/'1_Precios'!C171-1</f>
        <v>0</v>
      </c>
      <c r="D172" s="13">
        <f>'1_Precios'!D172/'1_Precios'!D171-1</f>
        <v>0</v>
      </c>
      <c r="E172" s="13">
        <f>'1_Precios'!E172/'1_Precios'!E171-1</f>
        <v>0</v>
      </c>
      <c r="F172" s="13">
        <f>'1_Precios'!F172/'1_Precios'!F171-1</f>
        <v>0</v>
      </c>
      <c r="G172" s="13">
        <f>'1_Precios'!G172/'1_Precios'!G171-1</f>
        <v>0</v>
      </c>
    </row>
    <row r="173" spans="1:7">
      <c r="A173" s="12">
        <f>'1_Precios'!A173</f>
        <v>0</v>
      </c>
      <c r="B173" s="13">
        <f>'1_Precios'!B173/'1_Precios'!B172-1</f>
        <v>0</v>
      </c>
      <c r="C173" s="13">
        <f>'1_Precios'!C173/'1_Precios'!C172-1</f>
        <v>0</v>
      </c>
      <c r="D173" s="13">
        <f>'1_Precios'!D173/'1_Precios'!D172-1</f>
        <v>0</v>
      </c>
      <c r="E173" s="13">
        <f>'1_Precios'!E173/'1_Precios'!E172-1</f>
        <v>0</v>
      </c>
      <c r="F173" s="13">
        <f>'1_Precios'!F173/'1_Precios'!F172-1</f>
        <v>0</v>
      </c>
      <c r="G173" s="13">
        <f>'1_Precios'!G173/'1_Precios'!G172-1</f>
        <v>0</v>
      </c>
    </row>
    <row r="174" spans="1:7">
      <c r="A174" s="12">
        <f>'1_Precios'!A174</f>
        <v>0</v>
      </c>
      <c r="B174" s="13">
        <f>'1_Precios'!B174/'1_Precios'!B173-1</f>
        <v>0</v>
      </c>
      <c r="C174" s="13">
        <f>'1_Precios'!C174/'1_Precios'!C173-1</f>
        <v>0</v>
      </c>
      <c r="D174" s="13">
        <f>'1_Precios'!D174/'1_Precios'!D173-1</f>
        <v>0</v>
      </c>
      <c r="E174" s="13">
        <f>'1_Precios'!E174/'1_Precios'!E173-1</f>
        <v>0</v>
      </c>
      <c r="F174" s="13">
        <f>'1_Precios'!F174/'1_Precios'!F173-1</f>
        <v>0</v>
      </c>
      <c r="G174" s="13">
        <f>'1_Precios'!G174/'1_Precios'!G173-1</f>
        <v>0</v>
      </c>
    </row>
    <row r="175" spans="1:7">
      <c r="A175" s="12">
        <f>'1_Precios'!A175</f>
        <v>0</v>
      </c>
      <c r="B175" s="13">
        <f>'1_Precios'!B175/'1_Precios'!B174-1</f>
        <v>0</v>
      </c>
      <c r="C175" s="13">
        <f>'1_Precios'!C175/'1_Precios'!C174-1</f>
        <v>0</v>
      </c>
      <c r="D175" s="13">
        <f>'1_Precios'!D175/'1_Precios'!D174-1</f>
        <v>0</v>
      </c>
      <c r="E175" s="13">
        <f>'1_Precios'!E175/'1_Precios'!E174-1</f>
        <v>0</v>
      </c>
      <c r="F175" s="13">
        <f>'1_Precios'!F175/'1_Precios'!F174-1</f>
        <v>0</v>
      </c>
      <c r="G175" s="13">
        <f>'1_Precios'!G175/'1_Precios'!G174-1</f>
        <v>0</v>
      </c>
    </row>
    <row r="176" spans="1:7">
      <c r="A176" s="12">
        <f>'1_Precios'!A176</f>
        <v>0</v>
      </c>
      <c r="B176" s="13">
        <f>'1_Precios'!B176/'1_Precios'!B175-1</f>
        <v>0</v>
      </c>
      <c r="C176" s="13">
        <f>'1_Precios'!C176/'1_Precios'!C175-1</f>
        <v>0</v>
      </c>
      <c r="D176" s="13">
        <f>'1_Precios'!D176/'1_Precios'!D175-1</f>
        <v>0</v>
      </c>
      <c r="E176" s="13">
        <f>'1_Precios'!E176/'1_Precios'!E175-1</f>
        <v>0</v>
      </c>
      <c r="F176" s="13">
        <f>'1_Precios'!F176/'1_Precios'!F175-1</f>
        <v>0</v>
      </c>
      <c r="G176" s="13">
        <f>'1_Precios'!G176/'1_Precios'!G175-1</f>
        <v>0</v>
      </c>
    </row>
    <row r="177" spans="1:7">
      <c r="A177" s="12">
        <f>'1_Precios'!A177</f>
        <v>0</v>
      </c>
      <c r="B177" s="13">
        <f>'1_Precios'!B177/'1_Precios'!B176-1</f>
        <v>0</v>
      </c>
      <c r="C177" s="13">
        <f>'1_Precios'!C177/'1_Precios'!C176-1</f>
        <v>0</v>
      </c>
      <c r="D177" s="13">
        <f>'1_Precios'!D177/'1_Precios'!D176-1</f>
        <v>0</v>
      </c>
      <c r="E177" s="13">
        <f>'1_Precios'!E177/'1_Precios'!E176-1</f>
        <v>0</v>
      </c>
      <c r="F177" s="13">
        <f>'1_Precios'!F177/'1_Precios'!F176-1</f>
        <v>0</v>
      </c>
      <c r="G177" s="13">
        <f>'1_Precios'!G177/'1_Precios'!G176-1</f>
        <v>0</v>
      </c>
    </row>
    <row r="178" spans="1:7">
      <c r="A178" s="12">
        <f>'1_Precios'!A178</f>
        <v>0</v>
      </c>
      <c r="B178" s="13">
        <f>'1_Precios'!B178/'1_Precios'!B177-1</f>
        <v>0</v>
      </c>
      <c r="C178" s="13">
        <f>'1_Precios'!C178/'1_Precios'!C177-1</f>
        <v>0</v>
      </c>
      <c r="D178" s="13">
        <f>'1_Precios'!D178/'1_Precios'!D177-1</f>
        <v>0</v>
      </c>
      <c r="E178" s="13">
        <f>'1_Precios'!E178/'1_Precios'!E177-1</f>
        <v>0</v>
      </c>
      <c r="F178" s="13">
        <f>'1_Precios'!F178/'1_Precios'!F177-1</f>
        <v>0</v>
      </c>
      <c r="G178" s="13">
        <f>'1_Precios'!G178/'1_Precios'!G177-1</f>
        <v>0</v>
      </c>
    </row>
    <row r="179" spans="1:7">
      <c r="A179" s="12">
        <f>'1_Precios'!A179</f>
        <v>0</v>
      </c>
      <c r="B179" s="13">
        <f>'1_Precios'!B179/'1_Precios'!B178-1</f>
        <v>0</v>
      </c>
      <c r="C179" s="13">
        <f>'1_Precios'!C179/'1_Precios'!C178-1</f>
        <v>0</v>
      </c>
      <c r="D179" s="13">
        <f>'1_Precios'!D179/'1_Precios'!D178-1</f>
        <v>0</v>
      </c>
      <c r="E179" s="13">
        <f>'1_Precios'!E179/'1_Precios'!E178-1</f>
        <v>0</v>
      </c>
      <c r="F179" s="13">
        <f>'1_Precios'!F179/'1_Precios'!F178-1</f>
        <v>0</v>
      </c>
      <c r="G179" s="13">
        <f>'1_Precios'!G179/'1_Precios'!G178-1</f>
        <v>0</v>
      </c>
    </row>
    <row r="180" spans="1:7">
      <c r="A180" s="12">
        <f>'1_Precios'!A180</f>
        <v>0</v>
      </c>
      <c r="B180" s="13">
        <f>'1_Precios'!B180/'1_Precios'!B179-1</f>
        <v>0</v>
      </c>
      <c r="C180" s="13">
        <f>'1_Precios'!C180/'1_Precios'!C179-1</f>
        <v>0</v>
      </c>
      <c r="D180" s="13">
        <f>'1_Precios'!D180/'1_Precios'!D179-1</f>
        <v>0</v>
      </c>
      <c r="E180" s="13">
        <f>'1_Precios'!E180/'1_Precios'!E179-1</f>
        <v>0</v>
      </c>
      <c r="F180" s="13">
        <f>'1_Precios'!F180/'1_Precios'!F179-1</f>
        <v>0</v>
      </c>
      <c r="G180" s="13">
        <f>'1_Precios'!G180/'1_Precios'!G179-1</f>
        <v>0</v>
      </c>
    </row>
    <row r="181" spans="1:7">
      <c r="A181" s="12">
        <f>'1_Precios'!A181</f>
        <v>0</v>
      </c>
      <c r="B181" s="13">
        <f>'1_Precios'!B181/'1_Precios'!B180-1</f>
        <v>0</v>
      </c>
      <c r="C181" s="13">
        <f>'1_Precios'!C181/'1_Precios'!C180-1</f>
        <v>0</v>
      </c>
      <c r="D181" s="13">
        <f>'1_Precios'!D181/'1_Precios'!D180-1</f>
        <v>0</v>
      </c>
      <c r="E181" s="13">
        <f>'1_Precios'!E181/'1_Precios'!E180-1</f>
        <v>0</v>
      </c>
      <c r="F181" s="13">
        <f>'1_Precios'!F181/'1_Precios'!F180-1</f>
        <v>0</v>
      </c>
      <c r="G181" s="13">
        <f>'1_Precios'!G181/'1_Precios'!G180-1</f>
        <v>0</v>
      </c>
    </row>
    <row r="182" spans="1:7">
      <c r="A182" s="12">
        <f>'1_Precios'!A182</f>
        <v>0</v>
      </c>
      <c r="B182" s="13">
        <f>'1_Precios'!B182/'1_Precios'!B181-1</f>
        <v>0</v>
      </c>
      <c r="C182" s="13">
        <f>'1_Precios'!C182/'1_Precios'!C181-1</f>
        <v>0</v>
      </c>
      <c r="D182" s="13">
        <f>'1_Precios'!D182/'1_Precios'!D181-1</f>
        <v>0</v>
      </c>
      <c r="E182" s="13">
        <f>'1_Precios'!E182/'1_Precios'!E181-1</f>
        <v>0</v>
      </c>
      <c r="F182" s="13">
        <f>'1_Precios'!F182/'1_Precios'!F181-1</f>
        <v>0</v>
      </c>
      <c r="G182" s="13">
        <f>'1_Precios'!G182/'1_Precios'!G181-1</f>
        <v>0</v>
      </c>
    </row>
    <row r="183" spans="1:7">
      <c r="A183" s="12">
        <f>'1_Precios'!A183</f>
        <v>0</v>
      </c>
      <c r="B183" s="13">
        <f>'1_Precios'!B183/'1_Precios'!B182-1</f>
        <v>0</v>
      </c>
      <c r="C183" s="13">
        <f>'1_Precios'!C183/'1_Precios'!C182-1</f>
        <v>0</v>
      </c>
      <c r="D183" s="13">
        <f>'1_Precios'!D183/'1_Precios'!D182-1</f>
        <v>0</v>
      </c>
      <c r="E183" s="13">
        <f>'1_Precios'!E183/'1_Precios'!E182-1</f>
        <v>0</v>
      </c>
      <c r="F183" s="13">
        <f>'1_Precios'!F183/'1_Precios'!F182-1</f>
        <v>0</v>
      </c>
      <c r="G183" s="13">
        <f>'1_Precios'!G183/'1_Precios'!G182-1</f>
        <v>0</v>
      </c>
    </row>
    <row r="184" spans="1:7">
      <c r="A184" s="12">
        <f>'1_Precios'!A184</f>
        <v>0</v>
      </c>
      <c r="B184" s="13">
        <f>'1_Precios'!B184/'1_Precios'!B183-1</f>
        <v>0</v>
      </c>
      <c r="C184" s="13">
        <f>'1_Precios'!C184/'1_Precios'!C183-1</f>
        <v>0</v>
      </c>
      <c r="D184" s="13">
        <f>'1_Precios'!D184/'1_Precios'!D183-1</f>
        <v>0</v>
      </c>
      <c r="E184" s="13">
        <f>'1_Precios'!E184/'1_Precios'!E183-1</f>
        <v>0</v>
      </c>
      <c r="F184" s="13">
        <f>'1_Precios'!F184/'1_Precios'!F183-1</f>
        <v>0</v>
      </c>
      <c r="G184" s="13">
        <f>'1_Precios'!G184/'1_Precios'!G183-1</f>
        <v>0</v>
      </c>
    </row>
    <row r="185" spans="1:7">
      <c r="A185" s="12">
        <f>'1_Precios'!A185</f>
        <v>0</v>
      </c>
      <c r="B185" s="13">
        <f>'1_Precios'!B185/'1_Precios'!B184-1</f>
        <v>0</v>
      </c>
      <c r="C185" s="13">
        <f>'1_Precios'!C185/'1_Precios'!C184-1</f>
        <v>0</v>
      </c>
      <c r="D185" s="13">
        <f>'1_Precios'!D185/'1_Precios'!D184-1</f>
        <v>0</v>
      </c>
      <c r="E185" s="13">
        <f>'1_Precios'!E185/'1_Precios'!E184-1</f>
        <v>0</v>
      </c>
      <c r="F185" s="13">
        <f>'1_Precios'!F185/'1_Precios'!F184-1</f>
        <v>0</v>
      </c>
      <c r="G185" s="13">
        <f>'1_Precios'!G185/'1_Precios'!G184-1</f>
        <v>0</v>
      </c>
    </row>
    <row r="186" spans="1:7">
      <c r="A186" s="12">
        <f>'1_Precios'!A186</f>
        <v>0</v>
      </c>
      <c r="B186" s="13">
        <f>'1_Precios'!B186/'1_Precios'!B185-1</f>
        <v>0</v>
      </c>
      <c r="C186" s="13">
        <f>'1_Precios'!C186/'1_Precios'!C185-1</f>
        <v>0</v>
      </c>
      <c r="D186" s="13">
        <f>'1_Precios'!D186/'1_Precios'!D185-1</f>
        <v>0</v>
      </c>
      <c r="E186" s="13">
        <f>'1_Precios'!E186/'1_Precios'!E185-1</f>
        <v>0</v>
      </c>
      <c r="F186" s="13">
        <f>'1_Precios'!F186/'1_Precios'!F185-1</f>
        <v>0</v>
      </c>
      <c r="G186" s="13">
        <f>'1_Precios'!G186/'1_Precios'!G185-1</f>
        <v>0</v>
      </c>
    </row>
    <row r="187" spans="1:7">
      <c r="A187" s="12">
        <f>'1_Precios'!A187</f>
        <v>0</v>
      </c>
      <c r="B187" s="13">
        <f>'1_Precios'!B187/'1_Precios'!B186-1</f>
        <v>0</v>
      </c>
      <c r="C187" s="13">
        <f>'1_Precios'!C187/'1_Precios'!C186-1</f>
        <v>0</v>
      </c>
      <c r="D187" s="13">
        <f>'1_Precios'!D187/'1_Precios'!D186-1</f>
        <v>0</v>
      </c>
      <c r="E187" s="13">
        <f>'1_Precios'!E187/'1_Precios'!E186-1</f>
        <v>0</v>
      </c>
      <c r="F187" s="13">
        <f>'1_Precios'!F187/'1_Precios'!F186-1</f>
        <v>0</v>
      </c>
      <c r="G187" s="13">
        <f>'1_Precios'!G187/'1_Precios'!G186-1</f>
        <v>0</v>
      </c>
    </row>
    <row r="188" spans="1:7">
      <c r="A188" s="12">
        <f>'1_Precios'!A188</f>
        <v>0</v>
      </c>
      <c r="B188" s="13">
        <f>'1_Precios'!B188/'1_Precios'!B187-1</f>
        <v>0</v>
      </c>
      <c r="C188" s="13">
        <f>'1_Precios'!C188/'1_Precios'!C187-1</f>
        <v>0</v>
      </c>
      <c r="D188" s="13">
        <f>'1_Precios'!D188/'1_Precios'!D187-1</f>
        <v>0</v>
      </c>
      <c r="E188" s="13">
        <f>'1_Precios'!E188/'1_Precios'!E187-1</f>
        <v>0</v>
      </c>
      <c r="F188" s="13">
        <f>'1_Precios'!F188/'1_Precios'!F187-1</f>
        <v>0</v>
      </c>
      <c r="G188" s="13">
        <f>'1_Precios'!G188/'1_Precios'!G187-1</f>
        <v>0</v>
      </c>
    </row>
    <row r="189" spans="1:7">
      <c r="A189" s="12">
        <f>'1_Precios'!A189</f>
        <v>0</v>
      </c>
      <c r="B189" s="13">
        <f>'1_Precios'!B189/'1_Precios'!B188-1</f>
        <v>0</v>
      </c>
      <c r="C189" s="13">
        <f>'1_Precios'!C189/'1_Precios'!C188-1</f>
        <v>0</v>
      </c>
      <c r="D189" s="13">
        <f>'1_Precios'!D189/'1_Precios'!D188-1</f>
        <v>0</v>
      </c>
      <c r="E189" s="13">
        <f>'1_Precios'!E189/'1_Precios'!E188-1</f>
        <v>0</v>
      </c>
      <c r="F189" s="13">
        <f>'1_Precios'!F189/'1_Precios'!F188-1</f>
        <v>0</v>
      </c>
      <c r="G189" s="13">
        <f>'1_Precios'!G189/'1_Precios'!G188-1</f>
        <v>0</v>
      </c>
    </row>
    <row r="190" spans="1:7">
      <c r="A190" s="12">
        <f>'1_Precios'!A190</f>
        <v>0</v>
      </c>
      <c r="B190" s="13">
        <f>'1_Precios'!B190/'1_Precios'!B189-1</f>
        <v>0</v>
      </c>
      <c r="C190" s="13">
        <f>'1_Precios'!C190/'1_Precios'!C189-1</f>
        <v>0</v>
      </c>
      <c r="D190" s="13">
        <f>'1_Precios'!D190/'1_Precios'!D189-1</f>
        <v>0</v>
      </c>
      <c r="E190" s="13">
        <f>'1_Precios'!E190/'1_Precios'!E189-1</f>
        <v>0</v>
      </c>
      <c r="F190" s="13">
        <f>'1_Precios'!F190/'1_Precios'!F189-1</f>
        <v>0</v>
      </c>
      <c r="G190" s="13">
        <f>'1_Precios'!G190/'1_Precios'!G189-1</f>
        <v>0</v>
      </c>
    </row>
    <row r="191" spans="1:7">
      <c r="A191" s="12">
        <f>'1_Precios'!A191</f>
        <v>0</v>
      </c>
      <c r="B191" s="13">
        <f>'1_Precios'!B191/'1_Precios'!B190-1</f>
        <v>0</v>
      </c>
      <c r="C191" s="13">
        <f>'1_Precios'!C191/'1_Precios'!C190-1</f>
        <v>0</v>
      </c>
      <c r="D191" s="13">
        <f>'1_Precios'!D191/'1_Precios'!D190-1</f>
        <v>0</v>
      </c>
      <c r="E191" s="13">
        <f>'1_Precios'!E191/'1_Precios'!E190-1</f>
        <v>0</v>
      </c>
      <c r="F191" s="13">
        <f>'1_Precios'!F191/'1_Precios'!F190-1</f>
        <v>0</v>
      </c>
      <c r="G191" s="13">
        <f>'1_Precios'!G191/'1_Precios'!G190-1</f>
        <v>0</v>
      </c>
    </row>
    <row r="192" spans="1:7">
      <c r="A192" s="12">
        <f>'1_Precios'!A192</f>
        <v>0</v>
      </c>
      <c r="B192" s="13">
        <f>'1_Precios'!B192/'1_Precios'!B191-1</f>
        <v>0</v>
      </c>
      <c r="C192" s="13">
        <f>'1_Precios'!C192/'1_Precios'!C191-1</f>
        <v>0</v>
      </c>
      <c r="D192" s="13">
        <f>'1_Precios'!D192/'1_Precios'!D191-1</f>
        <v>0</v>
      </c>
      <c r="E192" s="13">
        <f>'1_Precios'!E192/'1_Precios'!E191-1</f>
        <v>0</v>
      </c>
      <c r="F192" s="13">
        <f>'1_Precios'!F192/'1_Precios'!F191-1</f>
        <v>0</v>
      </c>
      <c r="G192" s="13">
        <f>'1_Precios'!G192/'1_Precios'!G191-1</f>
        <v>0</v>
      </c>
    </row>
    <row r="193" spans="1:7">
      <c r="A193" s="12">
        <f>'1_Precios'!A193</f>
        <v>0</v>
      </c>
      <c r="B193" s="13">
        <f>'1_Precios'!B193/'1_Precios'!B192-1</f>
        <v>0</v>
      </c>
      <c r="C193" s="13">
        <f>'1_Precios'!C193/'1_Precios'!C192-1</f>
        <v>0</v>
      </c>
      <c r="D193" s="13">
        <f>'1_Precios'!D193/'1_Precios'!D192-1</f>
        <v>0</v>
      </c>
      <c r="E193" s="13">
        <f>'1_Precios'!E193/'1_Precios'!E192-1</f>
        <v>0</v>
      </c>
      <c r="F193" s="13">
        <f>'1_Precios'!F193/'1_Precios'!F192-1</f>
        <v>0</v>
      </c>
      <c r="G193" s="13">
        <f>'1_Precios'!G193/'1_Precios'!G192-1</f>
        <v>0</v>
      </c>
    </row>
    <row r="194" spans="1:7">
      <c r="A194" s="12">
        <f>'1_Precios'!A194</f>
        <v>0</v>
      </c>
      <c r="B194" s="13">
        <f>'1_Precios'!B194/'1_Precios'!B193-1</f>
        <v>0</v>
      </c>
      <c r="C194" s="13">
        <f>'1_Precios'!C194/'1_Precios'!C193-1</f>
        <v>0</v>
      </c>
      <c r="D194" s="13">
        <f>'1_Precios'!D194/'1_Precios'!D193-1</f>
        <v>0</v>
      </c>
      <c r="E194" s="13">
        <f>'1_Precios'!E194/'1_Precios'!E193-1</f>
        <v>0</v>
      </c>
      <c r="F194" s="13">
        <f>'1_Precios'!F194/'1_Precios'!F193-1</f>
        <v>0</v>
      </c>
      <c r="G194" s="13">
        <f>'1_Precios'!G194/'1_Precios'!G193-1</f>
        <v>0</v>
      </c>
    </row>
    <row r="195" spans="1:7">
      <c r="A195" s="12">
        <f>'1_Precios'!A195</f>
        <v>0</v>
      </c>
      <c r="B195" s="13">
        <f>'1_Precios'!B195/'1_Precios'!B194-1</f>
        <v>0</v>
      </c>
      <c r="C195" s="13">
        <f>'1_Precios'!C195/'1_Precios'!C194-1</f>
        <v>0</v>
      </c>
      <c r="D195" s="13">
        <f>'1_Precios'!D195/'1_Precios'!D194-1</f>
        <v>0</v>
      </c>
      <c r="E195" s="13">
        <f>'1_Precios'!E195/'1_Precios'!E194-1</f>
        <v>0</v>
      </c>
      <c r="F195" s="13">
        <f>'1_Precios'!F195/'1_Precios'!F194-1</f>
        <v>0</v>
      </c>
      <c r="G195" s="13">
        <f>'1_Precios'!G195/'1_Precios'!G194-1</f>
        <v>0</v>
      </c>
    </row>
    <row r="196" spans="1:7">
      <c r="A196" s="12">
        <f>'1_Precios'!A196</f>
        <v>0</v>
      </c>
      <c r="B196" s="13">
        <f>'1_Precios'!B196/'1_Precios'!B195-1</f>
        <v>0</v>
      </c>
      <c r="C196" s="13">
        <f>'1_Precios'!C196/'1_Precios'!C195-1</f>
        <v>0</v>
      </c>
      <c r="D196" s="13">
        <f>'1_Precios'!D196/'1_Precios'!D195-1</f>
        <v>0</v>
      </c>
      <c r="E196" s="13">
        <f>'1_Precios'!E196/'1_Precios'!E195-1</f>
        <v>0</v>
      </c>
      <c r="F196" s="13">
        <f>'1_Precios'!F196/'1_Precios'!F195-1</f>
        <v>0</v>
      </c>
      <c r="G196" s="13">
        <f>'1_Precios'!G196/'1_Precios'!G195-1</f>
        <v>0</v>
      </c>
    </row>
    <row r="197" spans="1:7">
      <c r="A197" s="12">
        <f>'1_Precios'!A197</f>
        <v>0</v>
      </c>
      <c r="B197" s="13">
        <f>'1_Precios'!B197/'1_Precios'!B196-1</f>
        <v>0</v>
      </c>
      <c r="C197" s="13">
        <f>'1_Precios'!C197/'1_Precios'!C196-1</f>
        <v>0</v>
      </c>
      <c r="D197" s="13">
        <f>'1_Precios'!D197/'1_Precios'!D196-1</f>
        <v>0</v>
      </c>
      <c r="E197" s="13">
        <f>'1_Precios'!E197/'1_Precios'!E196-1</f>
        <v>0</v>
      </c>
      <c r="F197" s="13">
        <f>'1_Precios'!F197/'1_Precios'!F196-1</f>
        <v>0</v>
      </c>
      <c r="G197" s="13">
        <f>'1_Precios'!G197/'1_Precios'!G196-1</f>
        <v>0</v>
      </c>
    </row>
    <row r="198" spans="1:7">
      <c r="A198" s="12">
        <f>'1_Precios'!A198</f>
        <v>0</v>
      </c>
      <c r="B198" s="13">
        <f>'1_Precios'!B198/'1_Precios'!B197-1</f>
        <v>0</v>
      </c>
      <c r="C198" s="13">
        <f>'1_Precios'!C198/'1_Precios'!C197-1</f>
        <v>0</v>
      </c>
      <c r="D198" s="13">
        <f>'1_Precios'!D198/'1_Precios'!D197-1</f>
        <v>0</v>
      </c>
      <c r="E198" s="13">
        <f>'1_Precios'!E198/'1_Precios'!E197-1</f>
        <v>0</v>
      </c>
      <c r="F198" s="13">
        <f>'1_Precios'!F198/'1_Precios'!F197-1</f>
        <v>0</v>
      </c>
      <c r="G198" s="13">
        <f>'1_Precios'!G198/'1_Precios'!G197-1</f>
        <v>0</v>
      </c>
    </row>
    <row r="199" spans="1:7">
      <c r="A199" s="12">
        <f>'1_Precios'!A199</f>
        <v>0</v>
      </c>
      <c r="B199" s="13">
        <f>'1_Precios'!B199/'1_Precios'!B198-1</f>
        <v>0</v>
      </c>
      <c r="C199" s="13">
        <f>'1_Precios'!C199/'1_Precios'!C198-1</f>
        <v>0</v>
      </c>
      <c r="D199" s="13">
        <f>'1_Precios'!D199/'1_Precios'!D198-1</f>
        <v>0</v>
      </c>
      <c r="E199" s="13">
        <f>'1_Precios'!E199/'1_Precios'!E198-1</f>
        <v>0</v>
      </c>
      <c r="F199" s="13">
        <f>'1_Precios'!F199/'1_Precios'!F198-1</f>
        <v>0</v>
      </c>
      <c r="G199" s="13">
        <f>'1_Precios'!G199/'1_Precios'!G198-1</f>
        <v>0</v>
      </c>
    </row>
    <row r="200" spans="1:7">
      <c r="A200" s="12">
        <f>'1_Precios'!A200</f>
        <v>0</v>
      </c>
      <c r="B200" s="13">
        <f>'1_Precios'!B200/'1_Precios'!B199-1</f>
        <v>0</v>
      </c>
      <c r="C200" s="13">
        <f>'1_Precios'!C200/'1_Precios'!C199-1</f>
        <v>0</v>
      </c>
      <c r="D200" s="13">
        <f>'1_Precios'!D200/'1_Precios'!D199-1</f>
        <v>0</v>
      </c>
      <c r="E200" s="13">
        <f>'1_Precios'!E200/'1_Precios'!E199-1</f>
        <v>0</v>
      </c>
      <c r="F200" s="13">
        <f>'1_Precios'!F200/'1_Precios'!F199-1</f>
        <v>0</v>
      </c>
      <c r="G200" s="13">
        <f>'1_Precios'!G200/'1_Precios'!G199-1</f>
        <v>0</v>
      </c>
    </row>
    <row r="201" spans="1:7">
      <c r="A201" s="12">
        <f>'1_Precios'!A201</f>
        <v>0</v>
      </c>
      <c r="B201" s="13">
        <f>'1_Precios'!B201/'1_Precios'!B200-1</f>
        <v>0</v>
      </c>
      <c r="C201" s="13">
        <f>'1_Precios'!C201/'1_Precios'!C200-1</f>
        <v>0</v>
      </c>
      <c r="D201" s="13">
        <f>'1_Precios'!D201/'1_Precios'!D200-1</f>
        <v>0</v>
      </c>
      <c r="E201" s="13">
        <f>'1_Precios'!E201/'1_Precios'!E200-1</f>
        <v>0</v>
      </c>
      <c r="F201" s="13">
        <f>'1_Precios'!F201/'1_Precios'!F200-1</f>
        <v>0</v>
      </c>
      <c r="G201" s="13">
        <f>'1_Precios'!G201/'1_Precios'!G200-1</f>
        <v>0</v>
      </c>
    </row>
    <row r="202" spans="1:7">
      <c r="A202" s="12">
        <f>'1_Precios'!A202</f>
        <v>0</v>
      </c>
      <c r="B202" s="13">
        <f>'1_Precios'!B202/'1_Precios'!B201-1</f>
        <v>0</v>
      </c>
      <c r="C202" s="13">
        <f>'1_Precios'!C202/'1_Precios'!C201-1</f>
        <v>0</v>
      </c>
      <c r="D202" s="13">
        <f>'1_Precios'!D202/'1_Precios'!D201-1</f>
        <v>0</v>
      </c>
      <c r="E202" s="13">
        <f>'1_Precios'!E202/'1_Precios'!E201-1</f>
        <v>0</v>
      </c>
      <c r="F202" s="13">
        <f>'1_Precios'!F202/'1_Precios'!F201-1</f>
        <v>0</v>
      </c>
      <c r="G202" s="13">
        <f>'1_Precios'!G202/'1_Precios'!G201-1</f>
        <v>0</v>
      </c>
    </row>
    <row r="203" spans="1:7">
      <c r="A203" s="12">
        <f>'1_Precios'!A203</f>
        <v>0</v>
      </c>
      <c r="B203" s="13">
        <f>'1_Precios'!B203/'1_Precios'!B202-1</f>
        <v>0</v>
      </c>
      <c r="C203" s="13">
        <f>'1_Precios'!C203/'1_Precios'!C202-1</f>
        <v>0</v>
      </c>
      <c r="D203" s="13">
        <f>'1_Precios'!D203/'1_Precios'!D202-1</f>
        <v>0</v>
      </c>
      <c r="E203" s="13">
        <f>'1_Precios'!E203/'1_Precios'!E202-1</f>
        <v>0</v>
      </c>
      <c r="F203" s="13">
        <f>'1_Precios'!F203/'1_Precios'!F202-1</f>
        <v>0</v>
      </c>
      <c r="G203" s="13">
        <f>'1_Precios'!G203/'1_Precios'!G202-1</f>
        <v>0</v>
      </c>
    </row>
    <row r="204" spans="1:7">
      <c r="A204" s="12">
        <f>'1_Precios'!A204</f>
        <v>0</v>
      </c>
      <c r="B204" s="13">
        <f>'1_Precios'!B204/'1_Precios'!B203-1</f>
        <v>0</v>
      </c>
      <c r="C204" s="13">
        <f>'1_Precios'!C204/'1_Precios'!C203-1</f>
        <v>0</v>
      </c>
      <c r="D204" s="13">
        <f>'1_Precios'!D204/'1_Precios'!D203-1</f>
        <v>0</v>
      </c>
      <c r="E204" s="13">
        <f>'1_Precios'!E204/'1_Precios'!E203-1</f>
        <v>0</v>
      </c>
      <c r="F204" s="13">
        <f>'1_Precios'!F204/'1_Precios'!F203-1</f>
        <v>0</v>
      </c>
      <c r="G204" s="13">
        <f>'1_Precios'!G204/'1_Precios'!G203-1</f>
        <v>0</v>
      </c>
    </row>
    <row r="205" spans="1:7">
      <c r="A205" s="12">
        <f>'1_Precios'!A205</f>
        <v>0</v>
      </c>
      <c r="B205" s="13">
        <f>'1_Precios'!B205/'1_Precios'!B204-1</f>
        <v>0</v>
      </c>
      <c r="C205" s="13">
        <f>'1_Precios'!C205/'1_Precios'!C204-1</f>
        <v>0</v>
      </c>
      <c r="D205" s="13">
        <f>'1_Precios'!D205/'1_Precios'!D204-1</f>
        <v>0</v>
      </c>
      <c r="E205" s="13">
        <f>'1_Precios'!E205/'1_Precios'!E204-1</f>
        <v>0</v>
      </c>
      <c r="F205" s="13">
        <f>'1_Precios'!F205/'1_Precios'!F204-1</f>
        <v>0</v>
      </c>
      <c r="G205" s="13">
        <f>'1_Precios'!G205/'1_Precios'!G204-1</f>
        <v>0</v>
      </c>
    </row>
    <row r="206" spans="1:7">
      <c r="A206" s="12">
        <f>'1_Precios'!A206</f>
        <v>0</v>
      </c>
      <c r="B206" s="13">
        <f>'1_Precios'!B206/'1_Precios'!B205-1</f>
        <v>0</v>
      </c>
      <c r="C206" s="13">
        <f>'1_Precios'!C206/'1_Precios'!C205-1</f>
        <v>0</v>
      </c>
      <c r="D206" s="13">
        <f>'1_Precios'!D206/'1_Precios'!D205-1</f>
        <v>0</v>
      </c>
      <c r="E206" s="13">
        <f>'1_Precios'!E206/'1_Precios'!E205-1</f>
        <v>0</v>
      </c>
      <c r="F206" s="13">
        <f>'1_Precios'!F206/'1_Precios'!F205-1</f>
        <v>0</v>
      </c>
      <c r="G206" s="13">
        <f>'1_Precios'!G206/'1_Precios'!G205-1</f>
        <v>0</v>
      </c>
    </row>
    <row r="207" spans="1:7">
      <c r="A207" s="12">
        <f>'1_Precios'!A207</f>
        <v>0</v>
      </c>
      <c r="B207" s="13">
        <f>'1_Precios'!B207/'1_Precios'!B206-1</f>
        <v>0</v>
      </c>
      <c r="C207" s="13">
        <f>'1_Precios'!C207/'1_Precios'!C206-1</f>
        <v>0</v>
      </c>
      <c r="D207" s="13">
        <f>'1_Precios'!D207/'1_Precios'!D206-1</f>
        <v>0</v>
      </c>
      <c r="E207" s="13">
        <f>'1_Precios'!E207/'1_Precios'!E206-1</f>
        <v>0</v>
      </c>
      <c r="F207" s="13">
        <f>'1_Precios'!F207/'1_Precios'!F206-1</f>
        <v>0</v>
      </c>
      <c r="G207" s="13">
        <f>'1_Precios'!G207/'1_Precios'!G206-1</f>
        <v>0</v>
      </c>
    </row>
    <row r="208" spans="1:7">
      <c r="A208" s="12">
        <f>'1_Precios'!A208</f>
        <v>0</v>
      </c>
      <c r="B208" s="13">
        <f>'1_Precios'!B208/'1_Precios'!B207-1</f>
        <v>0</v>
      </c>
      <c r="C208" s="13">
        <f>'1_Precios'!C208/'1_Precios'!C207-1</f>
        <v>0</v>
      </c>
      <c r="D208" s="13">
        <f>'1_Precios'!D208/'1_Precios'!D207-1</f>
        <v>0</v>
      </c>
      <c r="E208" s="13">
        <f>'1_Precios'!E208/'1_Precios'!E207-1</f>
        <v>0</v>
      </c>
      <c r="F208" s="13">
        <f>'1_Precios'!F208/'1_Precios'!F207-1</f>
        <v>0</v>
      </c>
      <c r="G208" s="13">
        <f>'1_Precios'!G208/'1_Precios'!G207-1</f>
        <v>0</v>
      </c>
    </row>
    <row r="209" spans="1:7">
      <c r="A209" s="12">
        <f>'1_Precios'!A209</f>
        <v>0</v>
      </c>
      <c r="B209" s="13">
        <f>'1_Precios'!B209/'1_Precios'!B208-1</f>
        <v>0</v>
      </c>
      <c r="C209" s="13">
        <f>'1_Precios'!C209/'1_Precios'!C208-1</f>
        <v>0</v>
      </c>
      <c r="D209" s="13">
        <f>'1_Precios'!D209/'1_Precios'!D208-1</f>
        <v>0</v>
      </c>
      <c r="E209" s="13">
        <f>'1_Precios'!E209/'1_Precios'!E208-1</f>
        <v>0</v>
      </c>
      <c r="F209" s="13">
        <f>'1_Precios'!F209/'1_Precios'!F208-1</f>
        <v>0</v>
      </c>
      <c r="G209" s="13">
        <f>'1_Precios'!G209/'1_Precios'!G208-1</f>
        <v>0</v>
      </c>
    </row>
    <row r="210" spans="1:7">
      <c r="A210" s="12">
        <f>'1_Precios'!A210</f>
        <v>0</v>
      </c>
      <c r="B210" s="13">
        <f>'1_Precios'!B210/'1_Precios'!B209-1</f>
        <v>0</v>
      </c>
      <c r="C210" s="13">
        <f>'1_Precios'!C210/'1_Precios'!C209-1</f>
        <v>0</v>
      </c>
      <c r="D210" s="13">
        <f>'1_Precios'!D210/'1_Precios'!D209-1</f>
        <v>0</v>
      </c>
      <c r="E210" s="13">
        <f>'1_Precios'!E210/'1_Precios'!E209-1</f>
        <v>0</v>
      </c>
      <c r="F210" s="13">
        <f>'1_Precios'!F210/'1_Precios'!F209-1</f>
        <v>0</v>
      </c>
      <c r="G210" s="13">
        <f>'1_Precios'!G210/'1_Precios'!G209-1</f>
        <v>0</v>
      </c>
    </row>
    <row r="211" spans="1:7">
      <c r="A211" s="12">
        <f>'1_Precios'!A211</f>
        <v>0</v>
      </c>
      <c r="B211" s="13">
        <f>'1_Precios'!B211/'1_Precios'!B210-1</f>
        <v>0</v>
      </c>
      <c r="C211" s="13">
        <f>'1_Precios'!C211/'1_Precios'!C210-1</f>
        <v>0</v>
      </c>
      <c r="D211" s="13">
        <f>'1_Precios'!D211/'1_Precios'!D210-1</f>
        <v>0</v>
      </c>
      <c r="E211" s="13">
        <f>'1_Precios'!E211/'1_Precios'!E210-1</f>
        <v>0</v>
      </c>
      <c r="F211" s="13">
        <f>'1_Precios'!F211/'1_Precios'!F210-1</f>
        <v>0</v>
      </c>
      <c r="G211" s="13">
        <f>'1_Precios'!G211/'1_Precios'!G210-1</f>
        <v>0</v>
      </c>
    </row>
    <row r="212" spans="1:7">
      <c r="A212" s="12">
        <f>'1_Precios'!A212</f>
        <v>0</v>
      </c>
      <c r="B212" s="13">
        <f>'1_Precios'!B212/'1_Precios'!B211-1</f>
        <v>0</v>
      </c>
      <c r="C212" s="13">
        <f>'1_Precios'!C212/'1_Precios'!C211-1</f>
        <v>0</v>
      </c>
      <c r="D212" s="13">
        <f>'1_Precios'!D212/'1_Precios'!D211-1</f>
        <v>0</v>
      </c>
      <c r="E212" s="13">
        <f>'1_Precios'!E212/'1_Precios'!E211-1</f>
        <v>0</v>
      </c>
      <c r="F212" s="13">
        <f>'1_Precios'!F212/'1_Precios'!F211-1</f>
        <v>0</v>
      </c>
      <c r="G212" s="13">
        <f>'1_Precios'!G212/'1_Precios'!G211-1</f>
        <v>0</v>
      </c>
    </row>
    <row r="213" spans="1:7">
      <c r="A213" s="12">
        <f>'1_Precios'!A213</f>
        <v>0</v>
      </c>
      <c r="B213" s="13">
        <f>'1_Precios'!B213/'1_Precios'!B212-1</f>
        <v>0</v>
      </c>
      <c r="C213" s="13">
        <f>'1_Precios'!C213/'1_Precios'!C212-1</f>
        <v>0</v>
      </c>
      <c r="D213" s="13">
        <f>'1_Precios'!D213/'1_Precios'!D212-1</f>
        <v>0</v>
      </c>
      <c r="E213" s="13">
        <f>'1_Precios'!E213/'1_Precios'!E212-1</f>
        <v>0</v>
      </c>
      <c r="F213" s="13">
        <f>'1_Precios'!F213/'1_Precios'!F212-1</f>
        <v>0</v>
      </c>
      <c r="G213" s="13">
        <f>'1_Precios'!G213/'1_Precios'!G212-1</f>
        <v>0</v>
      </c>
    </row>
    <row r="214" spans="1:7">
      <c r="A214" s="12">
        <f>'1_Precios'!A214</f>
        <v>0</v>
      </c>
      <c r="B214" s="13">
        <f>'1_Precios'!B214/'1_Precios'!B213-1</f>
        <v>0</v>
      </c>
      <c r="C214" s="13">
        <f>'1_Precios'!C214/'1_Precios'!C213-1</f>
        <v>0</v>
      </c>
      <c r="D214" s="13">
        <f>'1_Precios'!D214/'1_Precios'!D213-1</f>
        <v>0</v>
      </c>
      <c r="E214" s="13">
        <f>'1_Precios'!E214/'1_Precios'!E213-1</f>
        <v>0</v>
      </c>
      <c r="F214" s="13">
        <f>'1_Precios'!F214/'1_Precios'!F213-1</f>
        <v>0</v>
      </c>
      <c r="G214" s="13">
        <f>'1_Precios'!G214/'1_Precios'!G213-1</f>
        <v>0</v>
      </c>
    </row>
    <row r="215" spans="1:7">
      <c r="A215" s="12">
        <f>'1_Precios'!A215</f>
        <v>0</v>
      </c>
      <c r="B215" s="13">
        <f>'1_Precios'!B215/'1_Precios'!B214-1</f>
        <v>0</v>
      </c>
      <c r="C215" s="13">
        <f>'1_Precios'!C215/'1_Precios'!C214-1</f>
        <v>0</v>
      </c>
      <c r="D215" s="13">
        <f>'1_Precios'!D215/'1_Precios'!D214-1</f>
        <v>0</v>
      </c>
      <c r="E215" s="13">
        <f>'1_Precios'!E215/'1_Precios'!E214-1</f>
        <v>0</v>
      </c>
      <c r="F215" s="13">
        <f>'1_Precios'!F215/'1_Precios'!F214-1</f>
        <v>0</v>
      </c>
      <c r="G215" s="13">
        <f>'1_Precios'!G215/'1_Precios'!G214-1</f>
        <v>0</v>
      </c>
    </row>
    <row r="216" spans="1:7">
      <c r="A216" s="12">
        <f>'1_Precios'!A216</f>
        <v>0</v>
      </c>
      <c r="B216" s="13">
        <f>'1_Precios'!B216/'1_Precios'!B215-1</f>
        <v>0</v>
      </c>
      <c r="C216" s="13">
        <f>'1_Precios'!C216/'1_Precios'!C215-1</f>
        <v>0</v>
      </c>
      <c r="D216" s="13">
        <f>'1_Precios'!D216/'1_Precios'!D215-1</f>
        <v>0</v>
      </c>
      <c r="E216" s="13">
        <f>'1_Precios'!E216/'1_Precios'!E215-1</f>
        <v>0</v>
      </c>
      <c r="F216" s="13">
        <f>'1_Precios'!F216/'1_Precios'!F215-1</f>
        <v>0</v>
      </c>
      <c r="G216" s="13">
        <f>'1_Precios'!G216/'1_Precios'!G215-1</f>
        <v>0</v>
      </c>
    </row>
    <row r="217" spans="1:7">
      <c r="A217" s="12">
        <f>'1_Precios'!A217</f>
        <v>0</v>
      </c>
      <c r="B217" s="13">
        <f>'1_Precios'!B217/'1_Precios'!B216-1</f>
        <v>0</v>
      </c>
      <c r="C217" s="13">
        <f>'1_Precios'!C217/'1_Precios'!C216-1</f>
        <v>0</v>
      </c>
      <c r="D217" s="13">
        <f>'1_Precios'!D217/'1_Precios'!D216-1</f>
        <v>0</v>
      </c>
      <c r="E217" s="13">
        <f>'1_Precios'!E217/'1_Precios'!E216-1</f>
        <v>0</v>
      </c>
      <c r="F217" s="13">
        <f>'1_Precios'!F217/'1_Precios'!F216-1</f>
        <v>0</v>
      </c>
      <c r="G217" s="13">
        <f>'1_Precios'!G217/'1_Precios'!G216-1</f>
        <v>0</v>
      </c>
    </row>
    <row r="218" spans="1:7">
      <c r="A218" s="12">
        <f>'1_Precios'!A218</f>
        <v>0</v>
      </c>
      <c r="B218" s="13">
        <f>'1_Precios'!B218/'1_Precios'!B217-1</f>
        <v>0</v>
      </c>
      <c r="C218" s="13">
        <f>'1_Precios'!C218/'1_Precios'!C217-1</f>
        <v>0</v>
      </c>
      <c r="D218" s="13">
        <f>'1_Precios'!D218/'1_Precios'!D217-1</f>
        <v>0</v>
      </c>
      <c r="E218" s="13">
        <f>'1_Precios'!E218/'1_Precios'!E217-1</f>
        <v>0</v>
      </c>
      <c r="F218" s="13">
        <f>'1_Precios'!F218/'1_Precios'!F217-1</f>
        <v>0</v>
      </c>
      <c r="G218" s="13">
        <f>'1_Precios'!G218/'1_Precios'!G217-1</f>
        <v>0</v>
      </c>
    </row>
    <row r="219" spans="1:7">
      <c r="A219" s="12">
        <f>'1_Precios'!A219</f>
        <v>0</v>
      </c>
      <c r="B219" s="13">
        <f>'1_Precios'!B219/'1_Precios'!B218-1</f>
        <v>0</v>
      </c>
      <c r="C219" s="13">
        <f>'1_Precios'!C219/'1_Precios'!C218-1</f>
        <v>0</v>
      </c>
      <c r="D219" s="13">
        <f>'1_Precios'!D219/'1_Precios'!D218-1</f>
        <v>0</v>
      </c>
      <c r="E219" s="13">
        <f>'1_Precios'!E219/'1_Precios'!E218-1</f>
        <v>0</v>
      </c>
      <c r="F219" s="13">
        <f>'1_Precios'!F219/'1_Precios'!F218-1</f>
        <v>0</v>
      </c>
      <c r="G219" s="13">
        <f>'1_Precios'!G219/'1_Precios'!G218-1</f>
        <v>0</v>
      </c>
    </row>
    <row r="220" spans="1:7">
      <c r="A220" s="12">
        <f>'1_Precios'!A220</f>
        <v>0</v>
      </c>
      <c r="B220" s="13">
        <f>'1_Precios'!B220/'1_Precios'!B219-1</f>
        <v>0</v>
      </c>
      <c r="C220" s="13">
        <f>'1_Precios'!C220/'1_Precios'!C219-1</f>
        <v>0</v>
      </c>
      <c r="D220" s="13">
        <f>'1_Precios'!D220/'1_Precios'!D219-1</f>
        <v>0</v>
      </c>
      <c r="E220" s="13">
        <f>'1_Precios'!E220/'1_Precios'!E219-1</f>
        <v>0</v>
      </c>
      <c r="F220" s="13">
        <f>'1_Precios'!F220/'1_Precios'!F219-1</f>
        <v>0</v>
      </c>
      <c r="G220" s="13">
        <f>'1_Precios'!G220/'1_Precios'!G219-1</f>
        <v>0</v>
      </c>
    </row>
    <row r="221" spans="1:7">
      <c r="A221" s="12">
        <f>'1_Precios'!A221</f>
        <v>0</v>
      </c>
      <c r="B221" s="13">
        <f>'1_Precios'!B221/'1_Precios'!B220-1</f>
        <v>0</v>
      </c>
      <c r="C221" s="13">
        <f>'1_Precios'!C221/'1_Precios'!C220-1</f>
        <v>0</v>
      </c>
      <c r="D221" s="13">
        <f>'1_Precios'!D221/'1_Precios'!D220-1</f>
        <v>0</v>
      </c>
      <c r="E221" s="13">
        <f>'1_Precios'!E221/'1_Precios'!E220-1</f>
        <v>0</v>
      </c>
      <c r="F221" s="13">
        <f>'1_Precios'!F221/'1_Precios'!F220-1</f>
        <v>0</v>
      </c>
      <c r="G221" s="13">
        <f>'1_Precios'!G221/'1_Precios'!G220-1</f>
        <v>0</v>
      </c>
    </row>
    <row r="222" spans="1:7">
      <c r="A222" s="12">
        <f>'1_Precios'!A222</f>
        <v>0</v>
      </c>
      <c r="B222" s="13">
        <f>'1_Precios'!B222/'1_Precios'!B221-1</f>
        <v>0</v>
      </c>
      <c r="C222" s="13">
        <f>'1_Precios'!C222/'1_Precios'!C221-1</f>
        <v>0</v>
      </c>
      <c r="D222" s="13">
        <f>'1_Precios'!D222/'1_Precios'!D221-1</f>
        <v>0</v>
      </c>
      <c r="E222" s="13">
        <f>'1_Precios'!E222/'1_Precios'!E221-1</f>
        <v>0</v>
      </c>
      <c r="F222" s="13">
        <f>'1_Precios'!F222/'1_Precios'!F221-1</f>
        <v>0</v>
      </c>
      <c r="G222" s="13">
        <f>'1_Precios'!G222/'1_Precios'!G221-1</f>
        <v>0</v>
      </c>
    </row>
    <row r="223" spans="1:7">
      <c r="A223" s="12">
        <f>'1_Precios'!A223</f>
        <v>0</v>
      </c>
      <c r="B223" s="13">
        <f>'1_Precios'!B223/'1_Precios'!B222-1</f>
        <v>0</v>
      </c>
      <c r="C223" s="13">
        <f>'1_Precios'!C223/'1_Precios'!C222-1</f>
        <v>0</v>
      </c>
      <c r="D223" s="13">
        <f>'1_Precios'!D223/'1_Precios'!D222-1</f>
        <v>0</v>
      </c>
      <c r="E223" s="13">
        <f>'1_Precios'!E223/'1_Precios'!E222-1</f>
        <v>0</v>
      </c>
      <c r="F223" s="13">
        <f>'1_Precios'!F223/'1_Precios'!F222-1</f>
        <v>0</v>
      </c>
      <c r="G223" s="13">
        <f>'1_Precios'!G223/'1_Precios'!G222-1</f>
        <v>0</v>
      </c>
    </row>
    <row r="224" spans="1:7">
      <c r="A224" s="12">
        <f>'1_Precios'!A224</f>
        <v>0</v>
      </c>
      <c r="B224" s="13">
        <f>'1_Precios'!B224/'1_Precios'!B223-1</f>
        <v>0</v>
      </c>
      <c r="C224" s="13">
        <f>'1_Precios'!C224/'1_Precios'!C223-1</f>
        <v>0</v>
      </c>
      <c r="D224" s="13">
        <f>'1_Precios'!D224/'1_Precios'!D223-1</f>
        <v>0</v>
      </c>
      <c r="E224" s="13">
        <f>'1_Precios'!E224/'1_Precios'!E223-1</f>
        <v>0</v>
      </c>
      <c r="F224" s="13">
        <f>'1_Precios'!F224/'1_Precios'!F223-1</f>
        <v>0</v>
      </c>
      <c r="G224" s="13">
        <f>'1_Precios'!G224/'1_Precios'!G223-1</f>
        <v>0</v>
      </c>
    </row>
    <row r="225" spans="1:7">
      <c r="A225" s="12">
        <f>'1_Precios'!A225</f>
        <v>0</v>
      </c>
      <c r="B225" s="13">
        <f>'1_Precios'!B225/'1_Precios'!B224-1</f>
        <v>0</v>
      </c>
      <c r="C225" s="13">
        <f>'1_Precios'!C225/'1_Precios'!C224-1</f>
        <v>0</v>
      </c>
      <c r="D225" s="13">
        <f>'1_Precios'!D225/'1_Precios'!D224-1</f>
        <v>0</v>
      </c>
      <c r="E225" s="13">
        <f>'1_Precios'!E225/'1_Precios'!E224-1</f>
        <v>0</v>
      </c>
      <c r="F225" s="13">
        <f>'1_Precios'!F225/'1_Precios'!F224-1</f>
        <v>0</v>
      </c>
      <c r="G225" s="13">
        <f>'1_Precios'!G225/'1_Precios'!G224-1</f>
        <v>0</v>
      </c>
    </row>
    <row r="226" spans="1:7">
      <c r="A226" s="12">
        <f>'1_Precios'!A226</f>
        <v>0</v>
      </c>
      <c r="B226" s="13">
        <f>'1_Precios'!B226/'1_Precios'!B225-1</f>
        <v>0</v>
      </c>
      <c r="C226" s="13">
        <f>'1_Precios'!C226/'1_Precios'!C225-1</f>
        <v>0</v>
      </c>
      <c r="D226" s="13">
        <f>'1_Precios'!D226/'1_Precios'!D225-1</f>
        <v>0</v>
      </c>
      <c r="E226" s="13">
        <f>'1_Precios'!E226/'1_Precios'!E225-1</f>
        <v>0</v>
      </c>
      <c r="F226" s="13">
        <f>'1_Precios'!F226/'1_Precios'!F225-1</f>
        <v>0</v>
      </c>
      <c r="G226" s="13">
        <f>'1_Precios'!G226/'1_Precios'!G225-1</f>
        <v>0</v>
      </c>
    </row>
    <row r="227" spans="1:7">
      <c r="A227" s="12">
        <f>'1_Precios'!A227</f>
        <v>0</v>
      </c>
      <c r="B227" s="13">
        <f>'1_Precios'!B227/'1_Precios'!B226-1</f>
        <v>0</v>
      </c>
      <c r="C227" s="13">
        <f>'1_Precios'!C227/'1_Precios'!C226-1</f>
        <v>0</v>
      </c>
      <c r="D227" s="13">
        <f>'1_Precios'!D227/'1_Precios'!D226-1</f>
        <v>0</v>
      </c>
      <c r="E227" s="13">
        <f>'1_Precios'!E227/'1_Precios'!E226-1</f>
        <v>0</v>
      </c>
      <c r="F227" s="13">
        <f>'1_Precios'!F227/'1_Precios'!F226-1</f>
        <v>0</v>
      </c>
      <c r="G227" s="13">
        <f>'1_Precios'!G227/'1_Precios'!G226-1</f>
        <v>0</v>
      </c>
    </row>
    <row r="228" spans="1:7">
      <c r="A228" s="12">
        <f>'1_Precios'!A228</f>
        <v>0</v>
      </c>
      <c r="B228" s="13">
        <f>'1_Precios'!B228/'1_Precios'!B227-1</f>
        <v>0</v>
      </c>
      <c r="C228" s="13">
        <f>'1_Precios'!C228/'1_Precios'!C227-1</f>
        <v>0</v>
      </c>
      <c r="D228" s="13">
        <f>'1_Precios'!D228/'1_Precios'!D227-1</f>
        <v>0</v>
      </c>
      <c r="E228" s="13">
        <f>'1_Precios'!E228/'1_Precios'!E227-1</f>
        <v>0</v>
      </c>
      <c r="F228" s="13">
        <f>'1_Precios'!F228/'1_Precios'!F227-1</f>
        <v>0</v>
      </c>
      <c r="G228" s="13">
        <f>'1_Precios'!G228/'1_Precios'!G227-1</f>
        <v>0</v>
      </c>
    </row>
    <row r="229" spans="1:7">
      <c r="A229" s="12">
        <f>'1_Precios'!A229</f>
        <v>0</v>
      </c>
      <c r="B229" s="13">
        <f>'1_Precios'!B229/'1_Precios'!B228-1</f>
        <v>0</v>
      </c>
      <c r="C229" s="13">
        <f>'1_Precios'!C229/'1_Precios'!C228-1</f>
        <v>0</v>
      </c>
      <c r="D229" s="13">
        <f>'1_Precios'!D229/'1_Precios'!D228-1</f>
        <v>0</v>
      </c>
      <c r="E229" s="13">
        <f>'1_Precios'!E229/'1_Precios'!E228-1</f>
        <v>0</v>
      </c>
      <c r="F229" s="13">
        <f>'1_Precios'!F229/'1_Precios'!F228-1</f>
        <v>0</v>
      </c>
      <c r="G229" s="13">
        <f>'1_Precios'!G229/'1_Precios'!G228-1</f>
        <v>0</v>
      </c>
    </row>
    <row r="230" spans="1:7">
      <c r="A230" s="12">
        <f>'1_Precios'!A230</f>
        <v>0</v>
      </c>
      <c r="B230" s="13">
        <f>'1_Precios'!B230/'1_Precios'!B229-1</f>
        <v>0</v>
      </c>
      <c r="C230" s="13">
        <f>'1_Precios'!C230/'1_Precios'!C229-1</f>
        <v>0</v>
      </c>
      <c r="D230" s="13">
        <f>'1_Precios'!D230/'1_Precios'!D229-1</f>
        <v>0</v>
      </c>
      <c r="E230" s="13">
        <f>'1_Precios'!E230/'1_Precios'!E229-1</f>
        <v>0</v>
      </c>
      <c r="F230" s="13">
        <f>'1_Precios'!F230/'1_Precios'!F229-1</f>
        <v>0</v>
      </c>
      <c r="G230" s="13">
        <f>'1_Precios'!G230/'1_Precios'!G229-1</f>
        <v>0</v>
      </c>
    </row>
    <row r="231" spans="1:7">
      <c r="A231" s="12">
        <f>'1_Precios'!A231</f>
        <v>0</v>
      </c>
      <c r="B231" s="13">
        <f>'1_Precios'!B231/'1_Precios'!B230-1</f>
        <v>0</v>
      </c>
      <c r="C231" s="13">
        <f>'1_Precios'!C231/'1_Precios'!C230-1</f>
        <v>0</v>
      </c>
      <c r="D231" s="13">
        <f>'1_Precios'!D231/'1_Precios'!D230-1</f>
        <v>0</v>
      </c>
      <c r="E231" s="13">
        <f>'1_Precios'!E231/'1_Precios'!E230-1</f>
        <v>0</v>
      </c>
      <c r="F231" s="13">
        <f>'1_Precios'!F231/'1_Precios'!F230-1</f>
        <v>0</v>
      </c>
      <c r="G231" s="13">
        <f>'1_Precios'!G231/'1_Precios'!G230-1</f>
        <v>0</v>
      </c>
    </row>
    <row r="232" spans="1:7">
      <c r="A232" s="12">
        <f>'1_Precios'!A232</f>
        <v>0</v>
      </c>
      <c r="B232" s="13">
        <f>'1_Precios'!B232/'1_Precios'!B231-1</f>
        <v>0</v>
      </c>
      <c r="C232" s="13">
        <f>'1_Precios'!C232/'1_Precios'!C231-1</f>
        <v>0</v>
      </c>
      <c r="D232" s="13">
        <f>'1_Precios'!D232/'1_Precios'!D231-1</f>
        <v>0</v>
      </c>
      <c r="E232" s="13">
        <f>'1_Precios'!E232/'1_Precios'!E231-1</f>
        <v>0</v>
      </c>
      <c r="F232" s="13">
        <f>'1_Precios'!F232/'1_Precios'!F231-1</f>
        <v>0</v>
      </c>
      <c r="G232" s="13">
        <f>'1_Precios'!G232/'1_Precios'!G231-1</f>
        <v>0</v>
      </c>
    </row>
    <row r="233" spans="1:7">
      <c r="A233" s="12">
        <f>'1_Precios'!A233</f>
        <v>0</v>
      </c>
      <c r="B233" s="13">
        <f>'1_Precios'!B233/'1_Precios'!B232-1</f>
        <v>0</v>
      </c>
      <c r="C233" s="13">
        <f>'1_Precios'!C233/'1_Precios'!C232-1</f>
        <v>0</v>
      </c>
      <c r="D233" s="13">
        <f>'1_Precios'!D233/'1_Precios'!D232-1</f>
        <v>0</v>
      </c>
      <c r="E233" s="13">
        <f>'1_Precios'!E233/'1_Precios'!E232-1</f>
        <v>0</v>
      </c>
      <c r="F233" s="13">
        <f>'1_Precios'!F233/'1_Precios'!F232-1</f>
        <v>0</v>
      </c>
      <c r="G233" s="13">
        <f>'1_Precios'!G233/'1_Precios'!G232-1</f>
        <v>0</v>
      </c>
    </row>
    <row r="234" spans="1:7">
      <c r="A234" s="12">
        <f>'1_Precios'!A234</f>
        <v>0</v>
      </c>
      <c r="B234" s="13">
        <f>'1_Precios'!B234/'1_Precios'!B233-1</f>
        <v>0</v>
      </c>
      <c r="C234" s="13">
        <f>'1_Precios'!C234/'1_Precios'!C233-1</f>
        <v>0</v>
      </c>
      <c r="D234" s="13">
        <f>'1_Precios'!D234/'1_Precios'!D233-1</f>
        <v>0</v>
      </c>
      <c r="E234" s="13">
        <f>'1_Precios'!E234/'1_Precios'!E233-1</f>
        <v>0</v>
      </c>
      <c r="F234" s="13">
        <f>'1_Precios'!F234/'1_Precios'!F233-1</f>
        <v>0</v>
      </c>
      <c r="G234" s="13">
        <f>'1_Precios'!G234/'1_Precios'!G233-1</f>
        <v>0</v>
      </c>
    </row>
    <row r="235" spans="1:7">
      <c r="A235" s="12">
        <f>'1_Precios'!A235</f>
        <v>0</v>
      </c>
      <c r="B235" s="13">
        <f>'1_Precios'!B235/'1_Precios'!B234-1</f>
        <v>0</v>
      </c>
      <c r="C235" s="13">
        <f>'1_Precios'!C235/'1_Precios'!C234-1</f>
        <v>0</v>
      </c>
      <c r="D235" s="13">
        <f>'1_Precios'!D235/'1_Precios'!D234-1</f>
        <v>0</v>
      </c>
      <c r="E235" s="13">
        <f>'1_Precios'!E235/'1_Precios'!E234-1</f>
        <v>0</v>
      </c>
      <c r="F235" s="13">
        <f>'1_Precios'!F235/'1_Precios'!F234-1</f>
        <v>0</v>
      </c>
      <c r="G235" s="13">
        <f>'1_Precios'!G235/'1_Precios'!G234-1</f>
        <v>0</v>
      </c>
    </row>
    <row r="236" spans="1:7">
      <c r="A236" s="12">
        <f>'1_Precios'!A236</f>
        <v>0</v>
      </c>
      <c r="B236" s="13">
        <f>'1_Precios'!B236/'1_Precios'!B235-1</f>
        <v>0</v>
      </c>
      <c r="C236" s="13">
        <f>'1_Precios'!C236/'1_Precios'!C235-1</f>
        <v>0</v>
      </c>
      <c r="D236" s="13">
        <f>'1_Precios'!D236/'1_Precios'!D235-1</f>
        <v>0</v>
      </c>
      <c r="E236" s="13">
        <f>'1_Precios'!E236/'1_Precios'!E235-1</f>
        <v>0</v>
      </c>
      <c r="F236" s="13">
        <f>'1_Precios'!F236/'1_Precios'!F235-1</f>
        <v>0</v>
      </c>
      <c r="G236" s="13">
        <f>'1_Precios'!G236/'1_Precios'!G235-1</f>
        <v>0</v>
      </c>
    </row>
    <row r="237" spans="1:7">
      <c r="A237" s="12">
        <f>'1_Precios'!A237</f>
        <v>0</v>
      </c>
      <c r="B237" s="13">
        <f>'1_Precios'!B237/'1_Precios'!B236-1</f>
        <v>0</v>
      </c>
      <c r="C237" s="13">
        <f>'1_Precios'!C237/'1_Precios'!C236-1</f>
        <v>0</v>
      </c>
      <c r="D237" s="13">
        <f>'1_Precios'!D237/'1_Precios'!D236-1</f>
        <v>0</v>
      </c>
      <c r="E237" s="13">
        <f>'1_Precios'!E237/'1_Precios'!E236-1</f>
        <v>0</v>
      </c>
      <c r="F237" s="13">
        <f>'1_Precios'!F237/'1_Precios'!F236-1</f>
        <v>0</v>
      </c>
      <c r="G237" s="13">
        <f>'1_Precios'!G237/'1_Precios'!G236-1</f>
        <v>0</v>
      </c>
    </row>
    <row r="238" spans="1:7">
      <c r="A238" s="12">
        <f>'1_Precios'!A238</f>
        <v>0</v>
      </c>
      <c r="B238" s="13">
        <f>'1_Precios'!B238/'1_Precios'!B237-1</f>
        <v>0</v>
      </c>
      <c r="C238" s="13">
        <f>'1_Precios'!C238/'1_Precios'!C237-1</f>
        <v>0</v>
      </c>
      <c r="D238" s="13">
        <f>'1_Precios'!D238/'1_Precios'!D237-1</f>
        <v>0</v>
      </c>
      <c r="E238" s="13">
        <f>'1_Precios'!E238/'1_Precios'!E237-1</f>
        <v>0</v>
      </c>
      <c r="F238" s="13">
        <f>'1_Precios'!F238/'1_Precios'!F237-1</f>
        <v>0</v>
      </c>
      <c r="G238" s="13">
        <f>'1_Precios'!G238/'1_Precios'!G237-1</f>
        <v>0</v>
      </c>
    </row>
    <row r="239" spans="1:7">
      <c r="A239" s="12">
        <f>'1_Precios'!A239</f>
        <v>0</v>
      </c>
      <c r="B239" s="13">
        <f>'1_Precios'!B239/'1_Precios'!B238-1</f>
        <v>0</v>
      </c>
      <c r="C239" s="13">
        <f>'1_Precios'!C239/'1_Precios'!C238-1</f>
        <v>0</v>
      </c>
      <c r="D239" s="13">
        <f>'1_Precios'!D239/'1_Precios'!D238-1</f>
        <v>0</v>
      </c>
      <c r="E239" s="13">
        <f>'1_Precios'!E239/'1_Precios'!E238-1</f>
        <v>0</v>
      </c>
      <c r="F239" s="13">
        <f>'1_Precios'!F239/'1_Precios'!F238-1</f>
        <v>0</v>
      </c>
      <c r="G239" s="13">
        <f>'1_Precios'!G239/'1_Precios'!G238-1</f>
        <v>0</v>
      </c>
    </row>
    <row r="240" spans="1:7">
      <c r="A240" s="12">
        <f>'1_Precios'!A240</f>
        <v>0</v>
      </c>
      <c r="B240" s="13">
        <f>'1_Precios'!B240/'1_Precios'!B239-1</f>
        <v>0</v>
      </c>
      <c r="C240" s="13">
        <f>'1_Precios'!C240/'1_Precios'!C239-1</f>
        <v>0</v>
      </c>
      <c r="D240" s="13">
        <f>'1_Precios'!D240/'1_Precios'!D239-1</f>
        <v>0</v>
      </c>
      <c r="E240" s="13">
        <f>'1_Precios'!E240/'1_Precios'!E239-1</f>
        <v>0</v>
      </c>
      <c r="F240" s="13">
        <f>'1_Precios'!F240/'1_Precios'!F239-1</f>
        <v>0</v>
      </c>
      <c r="G240" s="13">
        <f>'1_Precios'!G240/'1_Precios'!G239-1</f>
        <v>0</v>
      </c>
    </row>
    <row r="241" spans="1:7">
      <c r="A241" s="12">
        <f>'1_Precios'!A241</f>
        <v>0</v>
      </c>
      <c r="B241" s="13">
        <f>'1_Precios'!B241/'1_Precios'!B240-1</f>
        <v>0</v>
      </c>
      <c r="C241" s="13">
        <f>'1_Precios'!C241/'1_Precios'!C240-1</f>
        <v>0</v>
      </c>
      <c r="D241" s="13">
        <f>'1_Precios'!D241/'1_Precios'!D240-1</f>
        <v>0</v>
      </c>
      <c r="E241" s="13">
        <f>'1_Precios'!E241/'1_Precios'!E240-1</f>
        <v>0</v>
      </c>
      <c r="F241" s="13">
        <f>'1_Precios'!F241/'1_Precios'!F240-1</f>
        <v>0</v>
      </c>
      <c r="G241" s="13">
        <f>'1_Precios'!G241/'1_Precios'!G240-1</f>
        <v>0</v>
      </c>
    </row>
    <row r="242" spans="1:7">
      <c r="A242" s="12">
        <f>'1_Precios'!A242</f>
        <v>0</v>
      </c>
      <c r="B242" s="13">
        <f>'1_Precios'!B242/'1_Precios'!B241-1</f>
        <v>0</v>
      </c>
      <c r="C242" s="13">
        <f>'1_Precios'!C242/'1_Precios'!C241-1</f>
        <v>0</v>
      </c>
      <c r="D242" s="13">
        <f>'1_Precios'!D242/'1_Precios'!D241-1</f>
        <v>0</v>
      </c>
      <c r="E242" s="13">
        <f>'1_Precios'!E242/'1_Precios'!E241-1</f>
        <v>0</v>
      </c>
      <c r="F242" s="13">
        <f>'1_Precios'!F242/'1_Precios'!F241-1</f>
        <v>0</v>
      </c>
      <c r="G242" s="13">
        <f>'1_Precios'!G242/'1_Precios'!G241-1</f>
        <v>0</v>
      </c>
    </row>
    <row r="243" spans="1:7">
      <c r="A243" s="12">
        <f>'1_Precios'!A243</f>
        <v>0</v>
      </c>
      <c r="B243" s="13">
        <f>'1_Precios'!B243/'1_Precios'!B242-1</f>
        <v>0</v>
      </c>
      <c r="C243" s="13">
        <f>'1_Precios'!C243/'1_Precios'!C242-1</f>
        <v>0</v>
      </c>
      <c r="D243" s="13">
        <f>'1_Precios'!D243/'1_Precios'!D242-1</f>
        <v>0</v>
      </c>
      <c r="E243" s="13">
        <f>'1_Precios'!E243/'1_Precios'!E242-1</f>
        <v>0</v>
      </c>
      <c r="F243" s="13">
        <f>'1_Precios'!F243/'1_Precios'!F242-1</f>
        <v>0</v>
      </c>
      <c r="G243" s="13">
        <f>'1_Precios'!G243/'1_Precios'!G242-1</f>
        <v>0</v>
      </c>
    </row>
    <row r="244" spans="1:7">
      <c r="A244" s="12">
        <f>'1_Precios'!A244</f>
        <v>0</v>
      </c>
      <c r="B244" s="13">
        <f>'1_Precios'!B244/'1_Precios'!B243-1</f>
        <v>0</v>
      </c>
      <c r="C244" s="13">
        <f>'1_Precios'!C244/'1_Precios'!C243-1</f>
        <v>0</v>
      </c>
      <c r="D244" s="13">
        <f>'1_Precios'!D244/'1_Precios'!D243-1</f>
        <v>0</v>
      </c>
      <c r="E244" s="13">
        <f>'1_Precios'!E244/'1_Precios'!E243-1</f>
        <v>0</v>
      </c>
      <c r="F244" s="13">
        <f>'1_Precios'!F244/'1_Precios'!F243-1</f>
        <v>0</v>
      </c>
      <c r="G244" s="13">
        <f>'1_Precios'!G244/'1_Precios'!G243-1</f>
        <v>0</v>
      </c>
    </row>
    <row r="245" spans="1:7">
      <c r="A245" s="12">
        <f>'1_Precios'!A245</f>
        <v>0</v>
      </c>
      <c r="B245" s="13">
        <f>'1_Precios'!B245/'1_Precios'!B244-1</f>
        <v>0</v>
      </c>
      <c r="C245" s="13">
        <f>'1_Precios'!C245/'1_Precios'!C244-1</f>
        <v>0</v>
      </c>
      <c r="D245" s="13">
        <f>'1_Precios'!D245/'1_Precios'!D244-1</f>
        <v>0</v>
      </c>
      <c r="E245" s="13">
        <f>'1_Precios'!E245/'1_Precios'!E244-1</f>
        <v>0</v>
      </c>
      <c r="F245" s="13">
        <f>'1_Precios'!F245/'1_Precios'!F244-1</f>
        <v>0</v>
      </c>
      <c r="G245" s="13">
        <f>'1_Precios'!G245/'1_Precios'!G244-1</f>
        <v>0</v>
      </c>
    </row>
    <row r="246" spans="1:7">
      <c r="A246" s="12">
        <f>'1_Precios'!A246</f>
        <v>0</v>
      </c>
      <c r="B246" s="13">
        <f>'1_Precios'!B246/'1_Precios'!B245-1</f>
        <v>0</v>
      </c>
      <c r="C246" s="13">
        <f>'1_Precios'!C246/'1_Precios'!C245-1</f>
        <v>0</v>
      </c>
      <c r="D246" s="13">
        <f>'1_Precios'!D246/'1_Precios'!D245-1</f>
        <v>0</v>
      </c>
      <c r="E246" s="13">
        <f>'1_Precios'!E246/'1_Precios'!E245-1</f>
        <v>0</v>
      </c>
      <c r="F246" s="13">
        <f>'1_Precios'!F246/'1_Precios'!F245-1</f>
        <v>0</v>
      </c>
      <c r="G246" s="13">
        <f>'1_Precios'!G246/'1_Precios'!G245-1</f>
        <v>0</v>
      </c>
    </row>
    <row r="247" spans="1:7">
      <c r="A247" s="12">
        <f>'1_Precios'!A247</f>
        <v>0</v>
      </c>
      <c r="B247" s="13">
        <f>'1_Precios'!B247/'1_Precios'!B246-1</f>
        <v>0</v>
      </c>
      <c r="C247" s="13">
        <f>'1_Precios'!C247/'1_Precios'!C246-1</f>
        <v>0</v>
      </c>
      <c r="D247" s="13">
        <f>'1_Precios'!D247/'1_Precios'!D246-1</f>
        <v>0</v>
      </c>
      <c r="E247" s="13">
        <f>'1_Precios'!E247/'1_Precios'!E246-1</f>
        <v>0</v>
      </c>
      <c r="F247" s="13">
        <f>'1_Precios'!F247/'1_Precios'!F246-1</f>
        <v>0</v>
      </c>
      <c r="G247" s="13">
        <f>'1_Precios'!G247/'1_Precios'!G246-1</f>
        <v>0</v>
      </c>
    </row>
    <row r="248" spans="1:7">
      <c r="A248" s="12">
        <f>'1_Precios'!A248</f>
        <v>0</v>
      </c>
      <c r="B248" s="13">
        <f>'1_Precios'!B248/'1_Precios'!B247-1</f>
        <v>0</v>
      </c>
      <c r="C248" s="13">
        <f>'1_Precios'!C248/'1_Precios'!C247-1</f>
        <v>0</v>
      </c>
      <c r="D248" s="13">
        <f>'1_Precios'!D248/'1_Precios'!D247-1</f>
        <v>0</v>
      </c>
      <c r="E248" s="13">
        <f>'1_Precios'!E248/'1_Precios'!E247-1</f>
        <v>0</v>
      </c>
      <c r="F248" s="13">
        <f>'1_Precios'!F248/'1_Precios'!F247-1</f>
        <v>0</v>
      </c>
      <c r="G248" s="13">
        <f>'1_Precios'!G248/'1_Precios'!G247-1</f>
        <v>0</v>
      </c>
    </row>
    <row r="249" spans="1:7">
      <c r="A249" s="12">
        <f>'1_Precios'!A249</f>
        <v>0</v>
      </c>
      <c r="B249" s="13">
        <f>'1_Precios'!B249/'1_Precios'!B248-1</f>
        <v>0</v>
      </c>
      <c r="C249" s="13">
        <f>'1_Precios'!C249/'1_Precios'!C248-1</f>
        <v>0</v>
      </c>
      <c r="D249" s="13">
        <f>'1_Precios'!D249/'1_Precios'!D248-1</f>
        <v>0</v>
      </c>
      <c r="E249" s="13">
        <f>'1_Precios'!E249/'1_Precios'!E248-1</f>
        <v>0</v>
      </c>
      <c r="F249" s="13">
        <f>'1_Precios'!F249/'1_Precios'!F248-1</f>
        <v>0</v>
      </c>
      <c r="G249" s="13">
        <f>'1_Precios'!G249/'1_Precios'!G248-1</f>
        <v>0</v>
      </c>
    </row>
    <row r="250" spans="1:7">
      <c r="A250" s="12">
        <f>'1_Precios'!A250</f>
        <v>0</v>
      </c>
      <c r="B250" s="13">
        <f>'1_Precios'!B250/'1_Precios'!B249-1</f>
        <v>0</v>
      </c>
      <c r="C250" s="13">
        <f>'1_Precios'!C250/'1_Precios'!C249-1</f>
        <v>0</v>
      </c>
      <c r="D250" s="13">
        <f>'1_Precios'!D250/'1_Precios'!D249-1</f>
        <v>0</v>
      </c>
      <c r="E250" s="13">
        <f>'1_Precios'!E250/'1_Precios'!E249-1</f>
        <v>0</v>
      </c>
      <c r="F250" s="13">
        <f>'1_Precios'!F250/'1_Precios'!F249-1</f>
        <v>0</v>
      </c>
      <c r="G250" s="13">
        <f>'1_Precios'!G250/'1_Precios'!G249-1</f>
        <v>0</v>
      </c>
    </row>
    <row r="251" spans="1:7">
      <c r="A251" s="12">
        <f>'1_Precios'!A251</f>
        <v>0</v>
      </c>
      <c r="B251" s="13">
        <f>'1_Precios'!B251/'1_Precios'!B250-1</f>
        <v>0</v>
      </c>
      <c r="C251" s="13">
        <f>'1_Precios'!C251/'1_Precios'!C250-1</f>
        <v>0</v>
      </c>
      <c r="D251" s="13">
        <f>'1_Precios'!D251/'1_Precios'!D250-1</f>
        <v>0</v>
      </c>
      <c r="E251" s="13">
        <f>'1_Precios'!E251/'1_Precios'!E250-1</f>
        <v>0</v>
      </c>
      <c r="F251" s="13">
        <f>'1_Precios'!F251/'1_Precios'!F250-1</f>
        <v>0</v>
      </c>
      <c r="G251" s="13">
        <f>'1_Precios'!G251/'1_Precios'!G250-1</f>
        <v>0</v>
      </c>
    </row>
    <row r="252" spans="1:7">
      <c r="A252" s="12">
        <f>'1_Precios'!A252</f>
        <v>0</v>
      </c>
      <c r="B252" s="13">
        <f>'1_Precios'!B252/'1_Precios'!B251-1</f>
        <v>0</v>
      </c>
      <c r="C252" s="13">
        <f>'1_Precios'!C252/'1_Precios'!C251-1</f>
        <v>0</v>
      </c>
      <c r="D252" s="13">
        <f>'1_Precios'!D252/'1_Precios'!D251-1</f>
        <v>0</v>
      </c>
      <c r="E252" s="13">
        <f>'1_Precios'!E252/'1_Precios'!E251-1</f>
        <v>0</v>
      </c>
      <c r="F252" s="13">
        <f>'1_Precios'!F252/'1_Precios'!F251-1</f>
        <v>0</v>
      </c>
      <c r="G252" s="13">
        <f>'1_Precios'!G252/'1_Precios'!G251-1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cols>
    <col min="1" max="1" width="14.7109375" customWidth="1"/>
    <col min="2" max="7" width="12.7109375" customWidth="1"/>
    <col min="9" max="9" width="70.7109375" customWidth="1"/>
  </cols>
  <sheetData>
    <row r="1" spans="1:9">
      <c r="A1" s="1" t="s">
        <v>70</v>
      </c>
    </row>
    <row r="3" spans="1:9">
      <c r="A3" s="7"/>
      <c r="B3" s="7" t="s">
        <v>45</v>
      </c>
      <c r="C3" s="7" t="s">
        <v>46</v>
      </c>
      <c r="D3" s="7" t="s">
        <v>47</v>
      </c>
      <c r="E3" s="7" t="s">
        <v>48</v>
      </c>
      <c r="F3" s="7" t="s">
        <v>49</v>
      </c>
      <c r="G3" s="7" t="s">
        <v>50</v>
      </c>
      <c r="I3" s="3" t="s">
        <v>72</v>
      </c>
    </row>
    <row r="4" spans="1:9">
      <c r="A4" s="14" t="s">
        <v>45</v>
      </c>
      <c r="B4" s="21">
        <f>_xlfn.COVARIANCE.S('2_Retornos'!B$2:B$252,'2_Retornos'!B$2:B$252)*'2_Retornos'!$J$3</f>
        <v>0</v>
      </c>
      <c r="C4" s="21">
        <f>_xlfn.COVARIANCE.S('2_Retornos'!B$2:B$252,'2_Retornos'!C$2:C$252)*'2_Retornos'!$J$3</f>
        <v>0</v>
      </c>
      <c r="D4" s="21">
        <f>_xlfn.COVARIANCE.S('2_Retornos'!B$2:B$252,'2_Retornos'!D$2:D$252)*'2_Retornos'!$J$3</f>
        <v>0</v>
      </c>
      <c r="E4" s="21">
        <f>_xlfn.COVARIANCE.S('2_Retornos'!B$2:B$252,'2_Retornos'!E$2:E$252)*'2_Retornos'!$J$3</f>
        <v>0</v>
      </c>
      <c r="F4" s="21">
        <f>_xlfn.COVARIANCE.S('2_Retornos'!B$2:B$252,'2_Retornos'!F$2:F$252)*'2_Retornos'!$J$3</f>
        <v>0</v>
      </c>
      <c r="G4" s="21">
        <f>_xlfn.COVARIANCE.S('2_Retornos'!B$2:B$252,'2_Retornos'!G$2:G$252)*'2_Retornos'!$J$3</f>
        <v>0</v>
      </c>
      <c r="I4" s="16" t="s">
        <v>73</v>
      </c>
    </row>
    <row r="5" spans="1:9">
      <c r="A5" s="14" t="s">
        <v>46</v>
      </c>
      <c r="B5" s="21">
        <f>_xlfn.COVARIANCE.S('2_Retornos'!C$2:C$252,'2_Retornos'!B$2:B$252)*'2_Retornos'!$J$3</f>
        <v>0</v>
      </c>
      <c r="C5" s="21">
        <f>_xlfn.COVARIANCE.S('2_Retornos'!C$2:C$252,'2_Retornos'!C$2:C$252)*'2_Retornos'!$J$3</f>
        <v>0</v>
      </c>
      <c r="D5" s="21">
        <f>_xlfn.COVARIANCE.S('2_Retornos'!C$2:C$252,'2_Retornos'!D$2:D$252)*'2_Retornos'!$J$3</f>
        <v>0</v>
      </c>
      <c r="E5" s="21">
        <f>_xlfn.COVARIANCE.S('2_Retornos'!C$2:C$252,'2_Retornos'!E$2:E$252)*'2_Retornos'!$J$3</f>
        <v>0</v>
      </c>
      <c r="F5" s="21">
        <f>_xlfn.COVARIANCE.S('2_Retornos'!C$2:C$252,'2_Retornos'!F$2:F$252)*'2_Retornos'!$J$3</f>
        <v>0</v>
      </c>
      <c r="G5" s="21">
        <f>_xlfn.COVARIANCE.S('2_Retornos'!C$2:C$252,'2_Retornos'!G$2:G$252)*'2_Retornos'!$J$3</f>
        <v>0</v>
      </c>
      <c r="I5" s="16" t="s">
        <v>74</v>
      </c>
    </row>
    <row r="6" spans="1:9">
      <c r="A6" s="14" t="s">
        <v>47</v>
      </c>
      <c r="B6" s="21">
        <f>_xlfn.COVARIANCE.S('2_Retornos'!D$2:D$252,'2_Retornos'!B$2:B$252)*'2_Retornos'!$J$3</f>
        <v>0</v>
      </c>
      <c r="C6" s="21">
        <f>_xlfn.COVARIANCE.S('2_Retornos'!D$2:D$252,'2_Retornos'!C$2:C$252)*'2_Retornos'!$J$3</f>
        <v>0</v>
      </c>
      <c r="D6" s="21">
        <f>_xlfn.COVARIANCE.S('2_Retornos'!D$2:D$252,'2_Retornos'!D$2:D$252)*'2_Retornos'!$J$3</f>
        <v>0</v>
      </c>
      <c r="E6" s="21">
        <f>_xlfn.COVARIANCE.S('2_Retornos'!D$2:D$252,'2_Retornos'!E$2:E$252)*'2_Retornos'!$J$3</f>
        <v>0</v>
      </c>
      <c r="F6" s="21">
        <f>_xlfn.COVARIANCE.S('2_Retornos'!D$2:D$252,'2_Retornos'!F$2:F$252)*'2_Retornos'!$J$3</f>
        <v>0</v>
      </c>
      <c r="G6" s="21">
        <f>_xlfn.COVARIANCE.S('2_Retornos'!D$2:D$252,'2_Retornos'!G$2:G$252)*'2_Retornos'!$J$3</f>
        <v>0</v>
      </c>
      <c r="I6" s="16" t="s">
        <v>75</v>
      </c>
    </row>
    <row r="7" spans="1:9">
      <c r="A7" s="14" t="s">
        <v>48</v>
      </c>
      <c r="B7" s="21">
        <f>_xlfn.COVARIANCE.S('2_Retornos'!E$2:E$252,'2_Retornos'!B$2:B$252)*'2_Retornos'!$J$3</f>
        <v>0</v>
      </c>
      <c r="C7" s="21">
        <f>_xlfn.COVARIANCE.S('2_Retornos'!E$2:E$252,'2_Retornos'!C$2:C$252)*'2_Retornos'!$J$3</f>
        <v>0</v>
      </c>
      <c r="D7" s="21">
        <f>_xlfn.COVARIANCE.S('2_Retornos'!E$2:E$252,'2_Retornos'!D$2:D$252)*'2_Retornos'!$J$3</f>
        <v>0</v>
      </c>
      <c r="E7" s="21">
        <f>_xlfn.COVARIANCE.S('2_Retornos'!E$2:E$252,'2_Retornos'!E$2:E$252)*'2_Retornos'!$J$3</f>
        <v>0</v>
      </c>
      <c r="F7" s="21">
        <f>_xlfn.COVARIANCE.S('2_Retornos'!E$2:E$252,'2_Retornos'!F$2:F$252)*'2_Retornos'!$J$3</f>
        <v>0</v>
      </c>
      <c r="G7" s="21">
        <f>_xlfn.COVARIANCE.S('2_Retornos'!E$2:E$252,'2_Retornos'!G$2:G$252)*'2_Retornos'!$J$3</f>
        <v>0</v>
      </c>
      <c r="I7" s="16" t="s">
        <v>76</v>
      </c>
    </row>
    <row r="8" spans="1:9">
      <c r="A8" s="14" t="s">
        <v>49</v>
      </c>
      <c r="B8" s="21">
        <f>_xlfn.COVARIANCE.S('2_Retornos'!F$2:F$252,'2_Retornos'!B$2:B$252)*'2_Retornos'!$J$3</f>
        <v>0</v>
      </c>
      <c r="C8" s="21">
        <f>_xlfn.COVARIANCE.S('2_Retornos'!F$2:F$252,'2_Retornos'!C$2:C$252)*'2_Retornos'!$J$3</f>
        <v>0</v>
      </c>
      <c r="D8" s="21">
        <f>_xlfn.COVARIANCE.S('2_Retornos'!F$2:F$252,'2_Retornos'!D$2:D$252)*'2_Retornos'!$J$3</f>
        <v>0</v>
      </c>
      <c r="E8" s="21">
        <f>_xlfn.COVARIANCE.S('2_Retornos'!F$2:F$252,'2_Retornos'!E$2:E$252)*'2_Retornos'!$J$3</f>
        <v>0</v>
      </c>
      <c r="F8" s="21">
        <f>_xlfn.COVARIANCE.S('2_Retornos'!F$2:F$252,'2_Retornos'!F$2:F$252)*'2_Retornos'!$J$3</f>
        <v>0</v>
      </c>
      <c r="G8" s="21">
        <f>_xlfn.COVARIANCE.S('2_Retornos'!F$2:F$252,'2_Retornos'!G$2:G$252)*'2_Retornos'!$J$3</f>
        <v>0</v>
      </c>
      <c r="I8" s="16" t="s">
        <v>77</v>
      </c>
    </row>
    <row r="9" spans="1:9">
      <c r="A9" s="14" t="s">
        <v>50</v>
      </c>
      <c r="B9" s="21">
        <f>_xlfn.COVARIANCE.S('2_Retornos'!G$2:G$252,'2_Retornos'!B$2:B$252)*'2_Retornos'!$J$3</f>
        <v>0</v>
      </c>
      <c r="C9" s="21">
        <f>_xlfn.COVARIANCE.S('2_Retornos'!G$2:G$252,'2_Retornos'!C$2:C$252)*'2_Retornos'!$J$3</f>
        <v>0</v>
      </c>
      <c r="D9" s="21">
        <f>_xlfn.COVARIANCE.S('2_Retornos'!G$2:G$252,'2_Retornos'!D$2:D$252)*'2_Retornos'!$J$3</f>
        <v>0</v>
      </c>
      <c r="E9" s="21">
        <f>_xlfn.COVARIANCE.S('2_Retornos'!G$2:G$252,'2_Retornos'!E$2:E$252)*'2_Retornos'!$J$3</f>
        <v>0</v>
      </c>
      <c r="F9" s="21">
        <f>_xlfn.COVARIANCE.S('2_Retornos'!G$2:G$252,'2_Retornos'!F$2:F$252)*'2_Retornos'!$J$3</f>
        <v>0</v>
      </c>
      <c r="G9" s="21">
        <f>_xlfn.COVARIANCE.S('2_Retornos'!G$2:G$252,'2_Retornos'!G$2:G$252)*'2_Retornos'!$J$3</f>
        <v>0</v>
      </c>
    </row>
    <row r="11" spans="1:9">
      <c r="A11" s="1" t="s">
        <v>71</v>
      </c>
    </row>
    <row r="13" spans="1:9">
      <c r="A13" s="7"/>
      <c r="B13" s="7" t="s">
        <v>45</v>
      </c>
      <c r="C13" s="7" t="s">
        <v>46</v>
      </c>
      <c r="D13" s="7" t="s">
        <v>47</v>
      </c>
      <c r="E13" s="7" t="s">
        <v>48</v>
      </c>
      <c r="F13" s="7" t="s">
        <v>49</v>
      </c>
      <c r="G13" s="7" t="s">
        <v>50</v>
      </c>
    </row>
    <row r="14" spans="1:9">
      <c r="A14" s="14" t="s">
        <v>45</v>
      </c>
      <c r="B14" s="22">
        <f>CORREL('2_Retornos'!B$2:B$252,'2_Retornos'!B$2:B$252)</f>
        <v>0</v>
      </c>
      <c r="C14" s="22">
        <f>CORREL('2_Retornos'!B$2:B$252,'2_Retornos'!C$2:C$252)</f>
        <v>0</v>
      </c>
      <c r="D14" s="22">
        <f>CORREL('2_Retornos'!B$2:B$252,'2_Retornos'!D$2:D$252)</f>
        <v>0</v>
      </c>
      <c r="E14" s="22">
        <f>CORREL('2_Retornos'!B$2:B$252,'2_Retornos'!E$2:E$252)</f>
        <v>0</v>
      </c>
      <c r="F14" s="22">
        <f>CORREL('2_Retornos'!B$2:B$252,'2_Retornos'!F$2:F$252)</f>
        <v>0</v>
      </c>
      <c r="G14" s="22">
        <f>CORREL('2_Retornos'!B$2:B$252,'2_Retornos'!G$2:G$252)</f>
        <v>0</v>
      </c>
    </row>
    <row r="15" spans="1:9">
      <c r="A15" s="14" t="s">
        <v>46</v>
      </c>
      <c r="B15" s="22">
        <f>CORREL('2_Retornos'!C$2:C$252,'2_Retornos'!B$2:B$252)</f>
        <v>0</v>
      </c>
      <c r="C15" s="22">
        <f>CORREL('2_Retornos'!C$2:C$252,'2_Retornos'!C$2:C$252)</f>
        <v>0</v>
      </c>
      <c r="D15" s="22">
        <f>CORREL('2_Retornos'!C$2:C$252,'2_Retornos'!D$2:D$252)</f>
        <v>0</v>
      </c>
      <c r="E15" s="22">
        <f>CORREL('2_Retornos'!C$2:C$252,'2_Retornos'!E$2:E$252)</f>
        <v>0</v>
      </c>
      <c r="F15" s="22">
        <f>CORREL('2_Retornos'!C$2:C$252,'2_Retornos'!F$2:F$252)</f>
        <v>0</v>
      </c>
      <c r="G15" s="22">
        <f>CORREL('2_Retornos'!C$2:C$252,'2_Retornos'!G$2:G$252)</f>
        <v>0</v>
      </c>
    </row>
    <row r="16" spans="1:9">
      <c r="A16" s="14" t="s">
        <v>47</v>
      </c>
      <c r="B16" s="22">
        <f>CORREL('2_Retornos'!D$2:D$252,'2_Retornos'!B$2:B$252)</f>
        <v>0</v>
      </c>
      <c r="C16" s="22">
        <f>CORREL('2_Retornos'!D$2:D$252,'2_Retornos'!C$2:C$252)</f>
        <v>0</v>
      </c>
      <c r="D16" s="22">
        <f>CORREL('2_Retornos'!D$2:D$252,'2_Retornos'!D$2:D$252)</f>
        <v>0</v>
      </c>
      <c r="E16" s="22">
        <f>CORREL('2_Retornos'!D$2:D$252,'2_Retornos'!E$2:E$252)</f>
        <v>0</v>
      </c>
      <c r="F16" s="22">
        <f>CORREL('2_Retornos'!D$2:D$252,'2_Retornos'!F$2:F$252)</f>
        <v>0</v>
      </c>
      <c r="G16" s="22">
        <f>CORREL('2_Retornos'!D$2:D$252,'2_Retornos'!G$2:G$252)</f>
        <v>0</v>
      </c>
    </row>
    <row r="17" spans="1:7">
      <c r="A17" s="14" t="s">
        <v>48</v>
      </c>
      <c r="B17" s="22">
        <f>CORREL('2_Retornos'!E$2:E$252,'2_Retornos'!B$2:B$252)</f>
        <v>0</v>
      </c>
      <c r="C17" s="22">
        <f>CORREL('2_Retornos'!E$2:E$252,'2_Retornos'!C$2:C$252)</f>
        <v>0</v>
      </c>
      <c r="D17" s="22">
        <f>CORREL('2_Retornos'!E$2:E$252,'2_Retornos'!D$2:D$252)</f>
        <v>0</v>
      </c>
      <c r="E17" s="22">
        <f>CORREL('2_Retornos'!E$2:E$252,'2_Retornos'!E$2:E$252)</f>
        <v>0</v>
      </c>
      <c r="F17" s="22">
        <f>CORREL('2_Retornos'!E$2:E$252,'2_Retornos'!F$2:F$252)</f>
        <v>0</v>
      </c>
      <c r="G17" s="22">
        <f>CORREL('2_Retornos'!E$2:E$252,'2_Retornos'!G$2:G$252)</f>
        <v>0</v>
      </c>
    </row>
    <row r="18" spans="1:7">
      <c r="A18" s="14" t="s">
        <v>49</v>
      </c>
      <c r="B18" s="22">
        <f>CORREL('2_Retornos'!F$2:F$252,'2_Retornos'!B$2:B$252)</f>
        <v>0</v>
      </c>
      <c r="C18" s="22">
        <f>CORREL('2_Retornos'!F$2:F$252,'2_Retornos'!C$2:C$252)</f>
        <v>0</v>
      </c>
      <c r="D18" s="22">
        <f>CORREL('2_Retornos'!F$2:F$252,'2_Retornos'!D$2:D$252)</f>
        <v>0</v>
      </c>
      <c r="E18" s="22">
        <f>CORREL('2_Retornos'!F$2:F$252,'2_Retornos'!E$2:E$252)</f>
        <v>0</v>
      </c>
      <c r="F18" s="22">
        <f>CORREL('2_Retornos'!F$2:F$252,'2_Retornos'!F$2:F$252)</f>
        <v>0</v>
      </c>
      <c r="G18" s="22">
        <f>CORREL('2_Retornos'!F$2:F$252,'2_Retornos'!G$2:G$252)</f>
        <v>0</v>
      </c>
    </row>
    <row r="19" spans="1:7">
      <c r="A19" s="14" t="s">
        <v>50</v>
      </c>
      <c r="B19" s="22">
        <f>CORREL('2_Retornos'!G$2:G$252,'2_Retornos'!B$2:B$252)</f>
        <v>0</v>
      </c>
      <c r="C19" s="22">
        <f>CORREL('2_Retornos'!G$2:G$252,'2_Retornos'!C$2:C$252)</f>
        <v>0</v>
      </c>
      <c r="D19" s="22">
        <f>CORREL('2_Retornos'!G$2:G$252,'2_Retornos'!D$2:D$252)</f>
        <v>0</v>
      </c>
      <c r="E19" s="22">
        <f>CORREL('2_Retornos'!G$2:G$252,'2_Retornos'!E$2:E$252)</f>
        <v>0</v>
      </c>
      <c r="F19" s="22">
        <f>CORREL('2_Retornos'!G$2:G$252,'2_Retornos'!F$2:F$252)</f>
        <v>0</v>
      </c>
      <c r="G19" s="22">
        <f>CORREL('2_Retornos'!G$2:G$252,'2_Retornos'!G$2:G$252)</f>
        <v>0</v>
      </c>
    </row>
  </sheetData>
  <conditionalFormatting sqref="B14:G19">
    <cfRule type="colorScale" priority="1">
      <colorScale>
        <cfvo type="num" val="-1"/>
        <cfvo type="num" val="0"/>
        <cfvo type="num" val="1"/>
        <color rgb="FF63BE7B"/>
        <color rgb="FFFFFFFF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cols>
    <col min="1" max="1" width="34.7109375" customWidth="1"/>
    <col min="2" max="6" width="13.7109375" customWidth="1"/>
  </cols>
  <sheetData>
    <row r="1" spans="1:5">
      <c r="A1" s="1" t="s">
        <v>78</v>
      </c>
    </row>
    <row r="2" spans="1:5">
      <c r="A2" s="2" t="s">
        <v>79</v>
      </c>
    </row>
    <row r="4" spans="1:5">
      <c r="A4" s="14" t="s">
        <v>80</v>
      </c>
      <c r="B4" s="15">
        <f>'2_Retornos'!L7</f>
        <v>0</v>
      </c>
      <c r="C4" s="16">
        <f> MINERA (editable)</f>
        <v>0</v>
      </c>
    </row>
    <row r="5" spans="1:5">
      <c r="A5" s="14" t="s">
        <v>81</v>
      </c>
      <c r="B5" s="15">
        <f>'2_Retornos'!M7</f>
        <v>0</v>
      </c>
      <c r="C5" s="16">
        <f> ENERGIA (editable)</f>
        <v>0</v>
      </c>
    </row>
    <row r="6" spans="1:5">
      <c r="A6" s="14" t="s">
        <v>82</v>
      </c>
      <c r="B6" s="15">
        <f>'2_Retornos'!L9</f>
        <v>0</v>
      </c>
    </row>
    <row r="7" spans="1:5">
      <c r="A7" s="14" t="s">
        <v>83</v>
      </c>
      <c r="B7" s="15">
        <f>'2_Retornos'!M9</f>
        <v>0</v>
      </c>
    </row>
    <row r="8" spans="1:5">
      <c r="A8" s="14" t="s">
        <v>84</v>
      </c>
      <c r="B8" s="23">
        <f>'3_Cov_Correl'!E16</f>
        <v>0</v>
      </c>
      <c r="C8" s="16" t="s">
        <v>85</v>
      </c>
    </row>
    <row r="10" spans="1:5">
      <c r="A10" s="14" t="s">
        <v>86</v>
      </c>
      <c r="B10" s="18">
        <f>(B7^2-B8*B6*B7)/(B6^2+B7^2-2*B8*B6*B7)</f>
        <v>0</v>
      </c>
      <c r="C10" s="16" t="s">
        <v>89</v>
      </c>
    </row>
    <row r="11" spans="1:5">
      <c r="A11" s="14" t="s">
        <v>87</v>
      </c>
      <c r="B11" s="18">
        <f>B10*B4+(1-B10)*B5</f>
        <v>0</v>
      </c>
    </row>
    <row r="12" spans="1:5">
      <c r="A12" s="14" t="s">
        <v>88</v>
      </c>
      <c r="B12" s="18">
        <f>SQRT(B10^2*B6^2+(1-B10)^2*B7^2+2*B10*(1-B10)*B8*B6*B7)</f>
        <v>0</v>
      </c>
    </row>
    <row r="15" spans="1:5">
      <c r="A15" s="7" t="s">
        <v>90</v>
      </c>
      <c r="B15" s="7" t="s">
        <v>91</v>
      </c>
      <c r="C15" s="7" t="s">
        <v>92</v>
      </c>
      <c r="D15" s="7" t="s">
        <v>93</v>
      </c>
      <c r="E15" s="7" t="s">
        <v>94</v>
      </c>
    </row>
    <row r="16" spans="1:5">
      <c r="A16" s="13">
        <v>0</v>
      </c>
      <c r="B16" s="13">
        <f>1-A16</f>
        <v>0</v>
      </c>
      <c r="C16" s="13">
        <f>A16*$B$4+B16*$B$5</f>
        <v>0</v>
      </c>
      <c r="D16" s="13">
        <f>SQRT(A16^2*$B$6^2+B16^2*$B$7^2+2*A16*B16*$B$8*$B$6*$B$7)</f>
        <v>0</v>
      </c>
      <c r="E16" s="20">
        <f>(C16-'2_Retornos'!$J$2)/D16</f>
        <v>0</v>
      </c>
    </row>
    <row r="17" spans="1:7">
      <c r="A17" s="13">
        <v>0.05</v>
      </c>
      <c r="B17" s="13">
        <f>1-A17</f>
        <v>0</v>
      </c>
      <c r="C17" s="13">
        <f>A17*$B$4+B17*$B$5</f>
        <v>0</v>
      </c>
      <c r="D17" s="13">
        <f>SQRT(A17^2*$B$6^2+B17^2*$B$7^2+2*A17*B17*$B$8*$B$6*$B$7)</f>
        <v>0</v>
      </c>
      <c r="E17" s="20">
        <f>(C17-'2_Retornos'!$J$2)/D17</f>
        <v>0</v>
      </c>
    </row>
    <row r="18" spans="1:7">
      <c r="A18" s="13">
        <v>0.1</v>
      </c>
      <c r="B18" s="13">
        <f>1-A18</f>
        <v>0</v>
      </c>
      <c r="C18" s="13">
        <f>A18*$B$4+B18*$B$5</f>
        <v>0</v>
      </c>
      <c r="D18" s="13">
        <f>SQRT(A18^2*$B$6^2+B18^2*$B$7^2+2*A18*B18*$B$8*$B$6*$B$7)</f>
        <v>0</v>
      </c>
      <c r="E18" s="20">
        <f>(C18-'2_Retornos'!$J$2)/D18</f>
        <v>0</v>
      </c>
    </row>
    <row r="19" spans="1:7">
      <c r="A19" s="13">
        <v>0.15</v>
      </c>
      <c r="B19" s="13">
        <f>1-A19</f>
        <v>0</v>
      </c>
      <c r="C19" s="13">
        <f>A19*$B$4+B19*$B$5</f>
        <v>0</v>
      </c>
      <c r="D19" s="13">
        <f>SQRT(A19^2*$B$6^2+B19^2*$B$7^2+2*A19*B19*$B$8*$B$6*$B$7)</f>
        <v>0</v>
      </c>
      <c r="E19" s="20">
        <f>(C19-'2_Retornos'!$J$2)/D19</f>
        <v>0</v>
      </c>
    </row>
    <row r="20" spans="1:7">
      <c r="A20" s="13">
        <v>0.2</v>
      </c>
      <c r="B20" s="13">
        <f>1-A20</f>
        <v>0</v>
      </c>
      <c r="C20" s="13">
        <f>A20*$B$4+B20*$B$5</f>
        <v>0</v>
      </c>
      <c r="D20" s="13">
        <f>SQRT(A20^2*$B$6^2+B20^2*$B$7^2+2*A20*B20*$B$8*$B$6*$B$7)</f>
        <v>0</v>
      </c>
      <c r="E20" s="20">
        <f>(C20-'2_Retornos'!$J$2)/D20</f>
        <v>0</v>
      </c>
    </row>
    <row r="21" spans="1:7">
      <c r="A21" s="13">
        <v>0.25</v>
      </c>
      <c r="B21" s="13">
        <f>1-A21</f>
        <v>0</v>
      </c>
      <c r="C21" s="13">
        <f>A21*$B$4+B21*$B$5</f>
        <v>0</v>
      </c>
      <c r="D21" s="13">
        <f>SQRT(A21^2*$B$6^2+B21^2*$B$7^2+2*A21*B21*$B$8*$B$6*$B$7)</f>
        <v>0</v>
      </c>
      <c r="E21" s="20">
        <f>(C21-'2_Retornos'!$J$2)/D21</f>
        <v>0</v>
      </c>
    </row>
    <row r="22" spans="1:7">
      <c r="A22" s="13">
        <v>0.3</v>
      </c>
      <c r="B22" s="13">
        <f>1-A22</f>
        <v>0</v>
      </c>
      <c r="C22" s="13">
        <f>A22*$B$4+B22*$B$5</f>
        <v>0</v>
      </c>
      <c r="D22" s="13">
        <f>SQRT(A22^2*$B$6^2+B22^2*$B$7^2+2*A22*B22*$B$8*$B$6*$B$7)</f>
        <v>0</v>
      </c>
      <c r="E22" s="20">
        <f>(C22-'2_Retornos'!$J$2)/D22</f>
        <v>0</v>
      </c>
    </row>
    <row r="23" spans="1:7">
      <c r="A23" s="13">
        <v>0.35</v>
      </c>
      <c r="B23" s="13">
        <f>1-A23</f>
        <v>0</v>
      </c>
      <c r="C23" s="13">
        <f>A23*$B$4+B23*$B$5</f>
        <v>0</v>
      </c>
      <c r="D23" s="13">
        <f>SQRT(A23^2*$B$6^2+B23^2*$B$7^2+2*A23*B23*$B$8*$B$6*$B$7)</f>
        <v>0</v>
      </c>
      <c r="E23" s="20">
        <f>(C23-'2_Retornos'!$J$2)/D23</f>
        <v>0</v>
      </c>
    </row>
    <row r="24" spans="1:7">
      <c r="A24" s="13">
        <v>0.4</v>
      </c>
      <c r="B24" s="13">
        <f>1-A24</f>
        <v>0</v>
      </c>
      <c r="C24" s="13">
        <f>A24*$B$4+B24*$B$5</f>
        <v>0</v>
      </c>
      <c r="D24" s="13">
        <f>SQRT(A24^2*$B$6^2+B24^2*$B$7^2+2*A24*B24*$B$8*$B$6*$B$7)</f>
        <v>0</v>
      </c>
      <c r="E24" s="20">
        <f>(C24-'2_Retornos'!$J$2)/D24</f>
        <v>0</v>
      </c>
    </row>
    <row r="25" spans="1:7">
      <c r="A25" s="13">
        <v>0.45</v>
      </c>
      <c r="B25" s="13">
        <f>1-A25</f>
        <v>0</v>
      </c>
      <c r="C25" s="13">
        <f>A25*$B$4+B25*$B$5</f>
        <v>0</v>
      </c>
      <c r="D25" s="13">
        <f>SQRT(A25^2*$B$6^2+B25^2*$B$7^2+2*A25*B25*$B$8*$B$6*$B$7)</f>
        <v>0</v>
      </c>
      <c r="E25" s="20">
        <f>(C25-'2_Retornos'!$J$2)/D25</f>
        <v>0</v>
      </c>
    </row>
    <row r="26" spans="1:7">
      <c r="A26" s="13">
        <v>0.5</v>
      </c>
      <c r="B26" s="13">
        <f>1-A26</f>
        <v>0</v>
      </c>
      <c r="C26" s="13">
        <f>A26*$B$4+B26*$B$5</f>
        <v>0</v>
      </c>
      <c r="D26" s="13">
        <f>SQRT(A26^2*$B$6^2+B26^2*$B$7^2+2*A26*B26*$B$8*$B$6*$B$7)</f>
        <v>0</v>
      </c>
      <c r="E26" s="20">
        <f>(C26-'2_Retornos'!$J$2)/D26</f>
        <v>0</v>
      </c>
      <c r="G26" s="16" t="s">
        <v>95</v>
      </c>
    </row>
    <row r="27" spans="1:7">
      <c r="A27" s="13">
        <v>0.55</v>
      </c>
      <c r="B27" s="13">
        <f>1-A27</f>
        <v>0</v>
      </c>
      <c r="C27" s="13">
        <f>A27*$B$4+B27*$B$5</f>
        <v>0</v>
      </c>
      <c r="D27" s="13">
        <f>SQRT(A27^2*$B$6^2+B27^2*$B$7^2+2*A27*B27*$B$8*$B$6*$B$7)</f>
        <v>0</v>
      </c>
      <c r="E27" s="20">
        <f>(C27-'2_Retornos'!$J$2)/D27</f>
        <v>0</v>
      </c>
    </row>
    <row r="28" spans="1:7">
      <c r="A28" s="13">
        <v>0.6000000000000001</v>
      </c>
      <c r="B28" s="13">
        <f>1-A28</f>
        <v>0</v>
      </c>
      <c r="C28" s="13">
        <f>A28*$B$4+B28*$B$5</f>
        <v>0</v>
      </c>
      <c r="D28" s="13">
        <f>SQRT(A28^2*$B$6^2+B28^2*$B$7^2+2*A28*B28*$B$8*$B$6*$B$7)</f>
        <v>0</v>
      </c>
      <c r="E28" s="20">
        <f>(C28-'2_Retornos'!$J$2)/D28</f>
        <v>0</v>
      </c>
    </row>
    <row r="29" spans="1:7">
      <c r="A29" s="13">
        <v>0.65</v>
      </c>
      <c r="B29" s="13">
        <f>1-A29</f>
        <v>0</v>
      </c>
      <c r="C29" s="13">
        <f>A29*$B$4+B29*$B$5</f>
        <v>0</v>
      </c>
      <c r="D29" s="13">
        <f>SQRT(A29^2*$B$6^2+B29^2*$B$7^2+2*A29*B29*$B$8*$B$6*$B$7)</f>
        <v>0</v>
      </c>
      <c r="E29" s="20">
        <f>(C29-'2_Retornos'!$J$2)/D29</f>
        <v>0</v>
      </c>
    </row>
    <row r="30" spans="1:7">
      <c r="A30" s="13">
        <v>0.7000000000000001</v>
      </c>
      <c r="B30" s="13">
        <f>1-A30</f>
        <v>0</v>
      </c>
      <c r="C30" s="13">
        <f>A30*$B$4+B30*$B$5</f>
        <v>0</v>
      </c>
      <c r="D30" s="13">
        <f>SQRT(A30^2*$B$6^2+B30^2*$B$7^2+2*A30*B30*$B$8*$B$6*$B$7)</f>
        <v>0</v>
      </c>
      <c r="E30" s="20">
        <f>(C30-'2_Retornos'!$J$2)/D30</f>
        <v>0</v>
      </c>
    </row>
    <row r="31" spans="1:7">
      <c r="A31" s="13">
        <v>0.75</v>
      </c>
      <c r="B31" s="13">
        <f>1-A31</f>
        <v>0</v>
      </c>
      <c r="C31" s="13">
        <f>A31*$B$4+B31*$B$5</f>
        <v>0</v>
      </c>
      <c r="D31" s="13">
        <f>SQRT(A31^2*$B$6^2+B31^2*$B$7^2+2*A31*B31*$B$8*$B$6*$B$7)</f>
        <v>0</v>
      </c>
      <c r="E31" s="20">
        <f>(C31-'2_Retornos'!$J$2)/D31</f>
        <v>0</v>
      </c>
    </row>
    <row r="32" spans="1:7">
      <c r="A32" s="13">
        <v>0.8</v>
      </c>
      <c r="B32" s="13">
        <f>1-A32</f>
        <v>0</v>
      </c>
      <c r="C32" s="13">
        <f>A32*$B$4+B32*$B$5</f>
        <v>0</v>
      </c>
      <c r="D32" s="13">
        <f>SQRT(A32^2*$B$6^2+B32^2*$B$7^2+2*A32*B32*$B$8*$B$6*$B$7)</f>
        <v>0</v>
      </c>
      <c r="E32" s="20">
        <f>(C32-'2_Retornos'!$J$2)/D32</f>
        <v>0</v>
      </c>
    </row>
    <row r="33" spans="1:5">
      <c r="A33" s="13">
        <v>0.8500000000000001</v>
      </c>
      <c r="B33" s="13">
        <f>1-A33</f>
        <v>0</v>
      </c>
      <c r="C33" s="13">
        <f>A33*$B$4+B33*$B$5</f>
        <v>0</v>
      </c>
      <c r="D33" s="13">
        <f>SQRT(A33^2*$B$6^2+B33^2*$B$7^2+2*A33*B33*$B$8*$B$6*$B$7)</f>
        <v>0</v>
      </c>
      <c r="E33" s="20">
        <f>(C33-'2_Retornos'!$J$2)/D33</f>
        <v>0</v>
      </c>
    </row>
    <row r="34" spans="1:5">
      <c r="A34" s="13">
        <v>0.9</v>
      </c>
      <c r="B34" s="13">
        <f>1-A34</f>
        <v>0</v>
      </c>
      <c r="C34" s="13">
        <f>A34*$B$4+B34*$B$5</f>
        <v>0</v>
      </c>
      <c r="D34" s="13">
        <f>SQRT(A34^2*$B$6^2+B34^2*$B$7^2+2*A34*B34*$B$8*$B$6*$B$7)</f>
        <v>0</v>
      </c>
      <c r="E34" s="20">
        <f>(C34-'2_Retornos'!$J$2)/D34</f>
        <v>0</v>
      </c>
    </row>
    <row r="35" spans="1:5">
      <c r="A35" s="13">
        <v>0.9500000000000001</v>
      </c>
      <c r="B35" s="13">
        <f>1-A35</f>
        <v>0</v>
      </c>
      <c r="C35" s="13">
        <f>A35*$B$4+B35*$B$5</f>
        <v>0</v>
      </c>
      <c r="D35" s="13">
        <f>SQRT(A35^2*$B$6^2+B35^2*$B$7^2+2*A35*B35*$B$8*$B$6*$B$7)</f>
        <v>0</v>
      </c>
      <c r="E35" s="20">
        <f>(C35-'2_Retornos'!$J$2)/D35</f>
        <v>0</v>
      </c>
    </row>
    <row r="36" spans="1:5">
      <c r="A36" s="13">
        <v>1</v>
      </c>
      <c r="B36" s="13">
        <f>1-A36</f>
        <v>0</v>
      </c>
      <c r="C36" s="13">
        <f>A36*$B$4+B36*$B$5</f>
        <v>0</v>
      </c>
      <c r="D36" s="13">
        <f>SQRT(A36^2*$B$6^2+B36^2*$B$7^2+2*A36*B36*$B$8*$B$6*$B$7)</f>
        <v>0</v>
      </c>
      <c r="E36" s="20">
        <f>(C36-'2_Retornos'!$J$2)/D36</f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O253"/>
  <sheetViews>
    <sheetView workbookViewId="0"/>
  </sheetViews>
  <sheetFormatPr defaultRowHeight="15"/>
  <cols>
    <col min="1" max="1" width="34.7109375" customWidth="1"/>
    <col min="2" max="7" width="13.7109375" customWidth="1"/>
    <col min="9" max="12" width="13.7109375" customWidth="1"/>
    <col min="15" max="15" width="12.7109375" customWidth="1"/>
  </cols>
  <sheetData>
    <row r="1" spans="1:15">
      <c r="A1" s="1" t="s">
        <v>96</v>
      </c>
    </row>
    <row r="2" spans="1:15">
      <c r="A2" s="2" t="s">
        <v>97</v>
      </c>
      <c r="I2" s="7" t="s">
        <v>44</v>
      </c>
      <c r="J2" s="7" t="s">
        <v>123</v>
      </c>
      <c r="K2" s="7" t="s">
        <v>124</v>
      </c>
      <c r="L2" s="7" t="s">
        <v>125</v>
      </c>
      <c r="M2" s="7" t="s">
        <v>126</v>
      </c>
      <c r="N2" s="7" t="s">
        <v>127</v>
      </c>
      <c r="O2" s="7" t="s">
        <v>128</v>
      </c>
    </row>
    <row r="3" spans="1:15">
      <c r="I3" s="12">
        <f>'2_Retornos'!A2</f>
        <v>0</v>
      </c>
      <c r="J3" s="13">
        <f>SUMPRODUCT($B$5:$F$5,'2_Retornos'!B2:F2)</f>
        <v>0</v>
      </c>
      <c r="K3" s="13">
        <f>'2_Retornos'!G2</f>
        <v>0</v>
      </c>
      <c r="L3" s="13">
        <f>J3-K3</f>
        <v>0</v>
      </c>
      <c r="M3" s="24">
        <f>100*(1+J3)</f>
        <v>0</v>
      </c>
      <c r="N3" s="13">
        <f>M3/MAX($M$3:M3)-1</f>
        <v>0</v>
      </c>
      <c r="O3" s="24">
        <f>100*(1+K3)</f>
        <v>0</v>
      </c>
    </row>
    <row r="4" spans="1:15">
      <c r="A4" s="7"/>
      <c r="B4" s="7" t="s">
        <v>45</v>
      </c>
      <c r="C4" s="7" t="s">
        <v>46</v>
      </c>
      <c r="D4" s="7" t="s">
        <v>47</v>
      </c>
      <c r="E4" s="7" t="s">
        <v>48</v>
      </c>
      <c r="F4" s="7" t="s">
        <v>49</v>
      </c>
      <c r="G4" s="7" t="s">
        <v>98</v>
      </c>
      <c r="I4" s="12">
        <f>'2_Retornos'!A3</f>
        <v>0</v>
      </c>
      <c r="J4" s="13">
        <f>SUMPRODUCT($B$5:$F$5,'2_Retornos'!B3:F3)</f>
        <v>0</v>
      </c>
      <c r="K4" s="13">
        <f>'2_Retornos'!G3</f>
        <v>0</v>
      </c>
      <c r="L4" s="13">
        <f>J4-K4</f>
        <v>0</v>
      </c>
      <c r="M4" s="24">
        <f>M3*(1+J4)</f>
        <v>0</v>
      </c>
      <c r="N4" s="13">
        <f>M4/MAX($M$3:M4)-1</f>
        <v>0</v>
      </c>
      <c r="O4" s="24">
        <f>O3*(1+K4)</f>
        <v>0</v>
      </c>
    </row>
    <row r="5" spans="1:15">
      <c r="A5" s="14" t="s">
        <v>99</v>
      </c>
      <c r="B5" s="15">
        <v>0.2</v>
      </c>
      <c r="C5" s="15">
        <v>0.2</v>
      </c>
      <c r="D5" s="15">
        <v>0.2</v>
      </c>
      <c r="E5" s="15">
        <v>0.2</v>
      </c>
      <c r="F5" s="15">
        <v>0.2</v>
      </c>
      <c r="G5" s="18">
        <f>SUM(B5:F5)</f>
        <v>0</v>
      </c>
      <c r="H5" s="6">
        <f>IF(ROUND(G5,4)&lt;&gt;1,"LOS PESOS NO SUMAN 100%","OK")</f>
        <v>0</v>
      </c>
      <c r="I5" s="12">
        <f>'2_Retornos'!A4</f>
        <v>0</v>
      </c>
      <c r="J5" s="13">
        <f>SUMPRODUCT($B$5:$F$5,'2_Retornos'!B4:F4)</f>
        <v>0</v>
      </c>
      <c r="K5" s="13">
        <f>'2_Retornos'!G4</f>
        <v>0</v>
      </c>
      <c r="L5" s="13">
        <f>J5-K5</f>
        <v>0</v>
      </c>
      <c r="M5" s="24">
        <f>M4*(1+J5)</f>
        <v>0</v>
      </c>
      <c r="N5" s="13">
        <f>M5/MAX($M$3:M5)-1</f>
        <v>0</v>
      </c>
      <c r="O5" s="24">
        <f>O4*(1+K5)</f>
        <v>0</v>
      </c>
    </row>
    <row r="6" spans="1:15">
      <c r="A6" s="14" t="s">
        <v>100</v>
      </c>
      <c r="B6" s="13">
        <f>'2_Retornos'!J7</f>
        <v>0</v>
      </c>
      <c r="C6" s="13">
        <f>'2_Retornos'!K7</f>
        <v>0</v>
      </c>
      <c r="D6" s="13">
        <f>'2_Retornos'!L7</f>
        <v>0</v>
      </c>
      <c r="E6" s="13">
        <f>'2_Retornos'!M7</f>
        <v>0</v>
      </c>
      <c r="F6" s="13">
        <f>'2_Retornos'!N7</f>
        <v>0</v>
      </c>
      <c r="I6" s="12">
        <f>'2_Retornos'!A5</f>
        <v>0</v>
      </c>
      <c r="J6" s="13">
        <f>SUMPRODUCT($B$5:$F$5,'2_Retornos'!B5:F5)</f>
        <v>0</v>
      </c>
      <c r="K6" s="13">
        <f>'2_Retornos'!G5</f>
        <v>0</v>
      </c>
      <c r="L6" s="13">
        <f>J6-K6</f>
        <v>0</v>
      </c>
      <c r="M6" s="24">
        <f>M5*(1+J6)</f>
        <v>0</v>
      </c>
      <c r="N6" s="13">
        <f>M6/MAX($M$3:M6)-1</f>
        <v>0</v>
      </c>
      <c r="O6" s="24">
        <f>O5*(1+K6)</f>
        <v>0</v>
      </c>
    </row>
    <row r="7" spans="1:15">
      <c r="A7" s="14" t="s">
        <v>101</v>
      </c>
      <c r="B7" s="13">
        <f>'2_Retornos'!J9</f>
        <v>0</v>
      </c>
      <c r="C7" s="13">
        <f>'2_Retornos'!K9</f>
        <v>0</v>
      </c>
      <c r="D7" s="13">
        <f>'2_Retornos'!L9</f>
        <v>0</v>
      </c>
      <c r="E7" s="13">
        <f>'2_Retornos'!M9</f>
        <v>0</v>
      </c>
      <c r="F7" s="13">
        <f>'2_Retornos'!N9</f>
        <v>0</v>
      </c>
      <c r="I7" s="12">
        <f>'2_Retornos'!A6</f>
        <v>0</v>
      </c>
      <c r="J7" s="13">
        <f>SUMPRODUCT($B$5:$F$5,'2_Retornos'!B6:F6)</f>
        <v>0</v>
      </c>
      <c r="K7" s="13">
        <f>'2_Retornos'!G6</f>
        <v>0</v>
      </c>
      <c r="L7" s="13">
        <f>J7-K7</f>
        <v>0</v>
      </c>
      <c r="M7" s="24">
        <f>M6*(1+J7)</f>
        <v>0</v>
      </c>
      <c r="N7" s="13">
        <f>M7/MAX($M$3:M7)-1</f>
        <v>0</v>
      </c>
      <c r="O7" s="24">
        <f>O6*(1+K7)</f>
        <v>0</v>
      </c>
    </row>
    <row r="8" spans="1:15">
      <c r="I8" s="12">
        <f>'2_Retornos'!A7</f>
        <v>0</v>
      </c>
      <c r="J8" s="13">
        <f>SUMPRODUCT($B$5:$F$5,'2_Retornos'!B7:F7)</f>
        <v>0</v>
      </c>
      <c r="K8" s="13">
        <f>'2_Retornos'!G7</f>
        <v>0</v>
      </c>
      <c r="L8" s="13">
        <f>J8-K8</f>
        <v>0</v>
      </c>
      <c r="M8" s="24">
        <f>M7*(1+J8)</f>
        <v>0</v>
      </c>
      <c r="N8" s="13">
        <f>M8/MAX($M$3:M8)-1</f>
        <v>0</v>
      </c>
      <c r="O8" s="24">
        <f>O7*(1+K8)</f>
        <v>0</v>
      </c>
    </row>
    <row r="9" spans="1:15">
      <c r="A9" s="14" t="s">
        <v>102</v>
      </c>
      <c r="B9" s="18">
        <f>(1+AVERAGE(J3:J253))^'2_Retornos'!$J$3-1</f>
        <v>0</v>
      </c>
      <c r="I9" s="12">
        <f>'2_Retornos'!A8</f>
        <v>0</v>
      </c>
      <c r="J9" s="13">
        <f>SUMPRODUCT($B$5:$F$5,'2_Retornos'!B8:F8)</f>
        <v>0</v>
      </c>
      <c r="K9" s="13">
        <f>'2_Retornos'!G8</f>
        <v>0</v>
      </c>
      <c r="L9" s="13">
        <f>J9-K9</f>
        <v>0</v>
      </c>
      <c r="M9" s="24">
        <f>M8*(1+J9)</f>
        <v>0</v>
      </c>
      <c r="N9" s="13">
        <f>M9/MAX($M$3:M9)-1</f>
        <v>0</v>
      </c>
      <c r="O9" s="24">
        <f>O8*(1+K9)</f>
        <v>0</v>
      </c>
    </row>
    <row r="10" spans="1:15">
      <c r="A10" s="14" t="s">
        <v>103</v>
      </c>
      <c r="B10" s="18">
        <f>_xlfn.STDEV.S(J3:J253)*SQRT('2_Retornos'!$J$3)</f>
        <v>0</v>
      </c>
      <c r="I10" s="12">
        <f>'2_Retornos'!A9</f>
        <v>0</v>
      </c>
      <c r="J10" s="13">
        <f>SUMPRODUCT($B$5:$F$5,'2_Retornos'!B9:F9)</f>
        <v>0</v>
      </c>
      <c r="K10" s="13">
        <f>'2_Retornos'!G9</f>
        <v>0</v>
      </c>
      <c r="L10" s="13">
        <f>J10-K10</f>
        <v>0</v>
      </c>
      <c r="M10" s="24">
        <f>M9*(1+J10)</f>
        <v>0</v>
      </c>
      <c r="N10" s="13">
        <f>M10/MAX($M$3:M10)-1</f>
        <v>0</v>
      </c>
      <c r="O10" s="24">
        <f>O9*(1+K10)</f>
        <v>0</v>
      </c>
    </row>
    <row r="11" spans="1:15">
      <c r="A11" s="14" t="s">
        <v>104</v>
      </c>
      <c r="B11" s="19">
        <f>(B9-'2_Retornos'!$J$2)/B10</f>
        <v>0</v>
      </c>
      <c r="C11" s="16" t="s">
        <v>114</v>
      </c>
      <c r="I11" s="12">
        <f>'2_Retornos'!A10</f>
        <v>0</v>
      </c>
      <c r="J11" s="13">
        <f>SUMPRODUCT($B$5:$F$5,'2_Retornos'!B10:F10)</f>
        <v>0</v>
      </c>
      <c r="K11" s="13">
        <f>'2_Retornos'!G10</f>
        <v>0</v>
      </c>
      <c r="L11" s="13">
        <f>J11-K11</f>
        <v>0</v>
      </c>
      <c r="M11" s="24">
        <f>M10*(1+J11)</f>
        <v>0</v>
      </c>
      <c r="N11" s="13">
        <f>M11/MAX($M$3:M11)-1</f>
        <v>0</v>
      </c>
      <c r="O11" s="24">
        <f>O10*(1+K11)</f>
        <v>0</v>
      </c>
    </row>
    <row r="12" spans="1:15">
      <c r="A12" s="14" t="s">
        <v>105</v>
      </c>
      <c r="B12" s="19">
        <f>SLOPE(J3:J253,K3:K253)</f>
        <v>0</v>
      </c>
      <c r="C12" s="16" t="s">
        <v>115</v>
      </c>
      <c r="I12" s="12">
        <f>'2_Retornos'!A11</f>
        <v>0</v>
      </c>
      <c r="J12" s="13">
        <f>SUMPRODUCT($B$5:$F$5,'2_Retornos'!B11:F11)</f>
        <v>0</v>
      </c>
      <c r="K12" s="13">
        <f>'2_Retornos'!G11</f>
        <v>0</v>
      </c>
      <c r="L12" s="13">
        <f>J12-K12</f>
        <v>0</v>
      </c>
      <c r="M12" s="24">
        <f>M11*(1+J12)</f>
        <v>0</v>
      </c>
      <c r="N12" s="13">
        <f>M12/MAX($M$3:M12)-1</f>
        <v>0</v>
      </c>
      <c r="O12" s="24">
        <f>O11*(1+K12)</f>
        <v>0</v>
      </c>
    </row>
    <row r="13" spans="1:15">
      <c r="A13" s="14" t="s">
        <v>106</v>
      </c>
      <c r="B13" s="20">
        <f>(B9-'2_Retornos'!$J$2)/B12</f>
        <v>0</v>
      </c>
      <c r="I13" s="12">
        <f>'2_Retornos'!A12</f>
        <v>0</v>
      </c>
      <c r="J13" s="13">
        <f>SUMPRODUCT($B$5:$F$5,'2_Retornos'!B12:F12)</f>
        <v>0</v>
      </c>
      <c r="K13" s="13">
        <f>'2_Retornos'!G12</f>
        <v>0</v>
      </c>
      <c r="L13" s="13">
        <f>J13-K13</f>
        <v>0</v>
      </c>
      <c r="M13" s="24">
        <f>M12*(1+J13)</f>
        <v>0</v>
      </c>
      <c r="N13" s="13">
        <f>M13/MAX($M$3:M13)-1</f>
        <v>0</v>
      </c>
      <c r="O13" s="24">
        <f>O12*(1+K13)</f>
        <v>0</v>
      </c>
    </row>
    <row r="14" spans="1:15">
      <c r="A14" s="14" t="s">
        <v>107</v>
      </c>
      <c r="B14" s="13">
        <f>'2_Retornos'!O7</f>
        <v>0</v>
      </c>
      <c r="I14" s="12">
        <f>'2_Retornos'!A13</f>
        <v>0</v>
      </c>
      <c r="J14" s="13">
        <f>SUMPRODUCT($B$5:$F$5,'2_Retornos'!B13:F13)</f>
        <v>0</v>
      </c>
      <c r="K14" s="13">
        <f>'2_Retornos'!G13</f>
        <v>0</v>
      </c>
      <c r="L14" s="13">
        <f>J14-K14</f>
        <v>0</v>
      </c>
      <c r="M14" s="24">
        <f>M13*(1+J14)</f>
        <v>0</v>
      </c>
      <c r="N14" s="13">
        <f>M14/MAX($M$3:M14)-1</f>
        <v>0</v>
      </c>
      <c r="O14" s="24">
        <f>O13*(1+K14)</f>
        <v>0</v>
      </c>
    </row>
    <row r="15" spans="1:15">
      <c r="A15" s="14" t="s">
        <v>108</v>
      </c>
      <c r="B15" s="18">
        <f>B9-('2_Retornos'!$J$2+B12*(B14-'2_Retornos'!$J$2))</f>
        <v>0</v>
      </c>
      <c r="C15" s="16" t="s">
        <v>116</v>
      </c>
      <c r="I15" s="12">
        <f>'2_Retornos'!A14</f>
        <v>0</v>
      </c>
      <c r="J15" s="13">
        <f>SUMPRODUCT($B$5:$F$5,'2_Retornos'!B14:F14)</f>
        <v>0</v>
      </c>
      <c r="K15" s="13">
        <f>'2_Retornos'!G14</f>
        <v>0</v>
      </c>
      <c r="L15" s="13">
        <f>J15-K15</f>
        <v>0</v>
      </c>
      <c r="M15" s="24">
        <f>M14*(1+J15)</f>
        <v>0</v>
      </c>
      <c r="N15" s="13">
        <f>M15/MAX($M$3:M15)-1</f>
        <v>0</v>
      </c>
      <c r="O15" s="24">
        <f>O14*(1+K15)</f>
        <v>0</v>
      </c>
    </row>
    <row r="16" spans="1:15">
      <c r="A16" s="14" t="s">
        <v>109</v>
      </c>
      <c r="B16" s="13">
        <f>_xlfn.STDEV.S(L3:L253)*SQRT('2_Retornos'!$J$3)</f>
        <v>0</v>
      </c>
      <c r="I16" s="12">
        <f>'2_Retornos'!A15</f>
        <v>0</v>
      </c>
      <c r="J16" s="13">
        <f>SUMPRODUCT($B$5:$F$5,'2_Retornos'!B15:F15)</f>
        <v>0</v>
      </c>
      <c r="K16" s="13">
        <f>'2_Retornos'!G15</f>
        <v>0</v>
      </c>
      <c r="L16" s="13">
        <f>J16-K16</f>
        <v>0</v>
      </c>
      <c r="M16" s="24">
        <f>M15*(1+J16)</f>
        <v>0</v>
      </c>
      <c r="N16" s="13">
        <f>M16/MAX($M$3:M16)-1</f>
        <v>0</v>
      </c>
      <c r="O16" s="24">
        <f>O15*(1+K16)</f>
        <v>0</v>
      </c>
    </row>
    <row r="17" spans="1:15">
      <c r="A17" s="14" t="s">
        <v>110</v>
      </c>
      <c r="B17" s="20">
        <f>(B9-B14)/B16</f>
        <v>0</v>
      </c>
      <c r="I17" s="12">
        <f>'2_Retornos'!A16</f>
        <v>0</v>
      </c>
      <c r="J17" s="13">
        <f>SUMPRODUCT($B$5:$F$5,'2_Retornos'!B16:F16)</f>
        <v>0</v>
      </c>
      <c r="K17" s="13">
        <f>'2_Retornos'!G16</f>
        <v>0</v>
      </c>
      <c r="L17" s="13">
        <f>J17-K17</f>
        <v>0</v>
      </c>
      <c r="M17" s="24">
        <f>M16*(1+J17)</f>
        <v>0</v>
      </c>
      <c r="N17" s="13">
        <f>M17/MAX($M$3:M17)-1</f>
        <v>0</v>
      </c>
      <c r="O17" s="24">
        <f>O16*(1+K17)</f>
        <v>0</v>
      </c>
    </row>
    <row r="18" spans="1:15">
      <c r="A18" s="14" t="s">
        <v>111</v>
      </c>
      <c r="B18" s="13">
        <f>SUMPRODUCT(B5:F5,B7:F7)</f>
        <v>0</v>
      </c>
      <c r="I18" s="12">
        <f>'2_Retornos'!A17</f>
        <v>0</v>
      </c>
      <c r="J18" s="13">
        <f>SUMPRODUCT($B$5:$F$5,'2_Retornos'!B17:F17)</f>
        <v>0</v>
      </c>
      <c r="K18" s="13">
        <f>'2_Retornos'!G17</f>
        <v>0</v>
      </c>
      <c r="L18" s="13">
        <f>J18-K18</f>
        <v>0</v>
      </c>
      <c r="M18" s="24">
        <f>M17*(1+J18)</f>
        <v>0</v>
      </c>
      <c r="N18" s="13">
        <f>M18/MAX($M$3:M18)-1</f>
        <v>0</v>
      </c>
      <c r="O18" s="24">
        <f>O17*(1+K18)</f>
        <v>0</v>
      </c>
    </row>
    <row r="19" spans="1:15">
      <c r="A19" s="14" t="s">
        <v>112</v>
      </c>
      <c r="B19" s="18">
        <f>1-B10/B18</f>
        <v>0</v>
      </c>
      <c r="C19" s="16" t="s">
        <v>117</v>
      </c>
      <c r="I19" s="12">
        <f>'2_Retornos'!A18</f>
        <v>0</v>
      </c>
      <c r="J19" s="13">
        <f>SUMPRODUCT($B$5:$F$5,'2_Retornos'!B18:F18)</f>
        <v>0</v>
      </c>
      <c r="K19" s="13">
        <f>'2_Retornos'!G18</f>
        <v>0</v>
      </c>
      <c r="L19" s="13">
        <f>J19-K19</f>
        <v>0</v>
      </c>
      <c r="M19" s="24">
        <f>M18*(1+J19)</f>
        <v>0</v>
      </c>
      <c r="N19" s="13">
        <f>M19/MAX($M$3:M19)-1</f>
        <v>0</v>
      </c>
      <c r="O19" s="24">
        <f>O18*(1+K19)</f>
        <v>0</v>
      </c>
    </row>
    <row r="20" spans="1:15">
      <c r="A20" s="14" t="s">
        <v>113</v>
      </c>
      <c r="B20" s="18">
        <f>MIN(N3:N253)</f>
        <v>0</v>
      </c>
      <c r="I20" s="12">
        <f>'2_Retornos'!A19</f>
        <v>0</v>
      </c>
      <c r="J20" s="13">
        <f>SUMPRODUCT($B$5:$F$5,'2_Retornos'!B19:F19)</f>
        <v>0</v>
      </c>
      <c r="K20" s="13">
        <f>'2_Retornos'!G19</f>
        <v>0</v>
      </c>
      <c r="L20" s="13">
        <f>J20-K20</f>
        <v>0</v>
      </c>
      <c r="M20" s="24">
        <f>M19*(1+J20)</f>
        <v>0</v>
      </c>
      <c r="N20" s="13">
        <f>M20/MAX($M$3:M20)-1</f>
        <v>0</v>
      </c>
      <c r="O20" s="24">
        <f>O19*(1+K20)</f>
        <v>0</v>
      </c>
    </row>
    <row r="21" spans="1:15">
      <c r="I21" s="12">
        <f>'2_Retornos'!A20</f>
        <v>0</v>
      </c>
      <c r="J21" s="13">
        <f>SUMPRODUCT($B$5:$F$5,'2_Retornos'!B20:F20)</f>
        <v>0</v>
      </c>
      <c r="K21" s="13">
        <f>'2_Retornos'!G20</f>
        <v>0</v>
      </c>
      <c r="L21" s="13">
        <f>J21-K21</f>
        <v>0</v>
      </c>
      <c r="M21" s="24">
        <f>M20*(1+J21)</f>
        <v>0</v>
      </c>
      <c r="N21" s="13">
        <f>M21/MAX($M$3:M21)-1</f>
        <v>0</v>
      </c>
      <c r="O21" s="24">
        <f>O20*(1+K21)</f>
        <v>0</v>
      </c>
    </row>
    <row r="22" spans="1:15">
      <c r="A22" s="3" t="s">
        <v>118</v>
      </c>
      <c r="I22" s="12">
        <f>'2_Retornos'!A21</f>
        <v>0</v>
      </c>
      <c r="J22" s="13">
        <f>SUMPRODUCT($B$5:$F$5,'2_Retornos'!B21:F21)</f>
        <v>0</v>
      </c>
      <c r="K22" s="13">
        <f>'2_Retornos'!G21</f>
        <v>0</v>
      </c>
      <c r="L22" s="13">
        <f>J22-K22</f>
        <v>0</v>
      </c>
      <c r="M22" s="24">
        <f>M21*(1+J22)</f>
        <v>0</v>
      </c>
      <c r="N22" s="13">
        <f>M22/MAX($M$3:M22)-1</f>
        <v>0</v>
      </c>
      <c r="O22" s="24">
        <f>O21*(1+K22)</f>
        <v>0</v>
      </c>
    </row>
    <row r="23" spans="1:15">
      <c r="A23" s="16" t="s">
        <v>119</v>
      </c>
      <c r="I23" s="12">
        <f>'2_Retornos'!A22</f>
        <v>0</v>
      </c>
      <c r="J23" s="13">
        <f>SUMPRODUCT($B$5:$F$5,'2_Retornos'!B22:F22)</f>
        <v>0</v>
      </c>
      <c r="K23" s="13">
        <f>'2_Retornos'!G22</f>
        <v>0</v>
      </c>
      <c r="L23" s="13">
        <f>J23-K23</f>
        <v>0</v>
      </c>
      <c r="M23" s="24">
        <f>M22*(1+J23)</f>
        <v>0</v>
      </c>
      <c r="N23" s="13">
        <f>M23/MAX($M$3:M23)-1</f>
        <v>0</v>
      </c>
      <c r="O23" s="24">
        <f>O22*(1+K23)</f>
        <v>0</v>
      </c>
    </row>
    <row r="24" spans="1:15">
      <c r="A24" s="16" t="s">
        <v>120</v>
      </c>
      <c r="I24" s="12">
        <f>'2_Retornos'!A23</f>
        <v>0</v>
      </c>
      <c r="J24" s="13">
        <f>SUMPRODUCT($B$5:$F$5,'2_Retornos'!B23:F23)</f>
        <v>0</v>
      </c>
      <c r="K24" s="13">
        <f>'2_Retornos'!G23</f>
        <v>0</v>
      </c>
      <c r="L24" s="13">
        <f>J24-K24</f>
        <v>0</v>
      </c>
      <c r="M24" s="24">
        <f>M23*(1+J24)</f>
        <v>0</v>
      </c>
      <c r="N24" s="13">
        <f>M24/MAX($M$3:M24)-1</f>
        <v>0</v>
      </c>
      <c r="O24" s="24">
        <f>O23*(1+K24)</f>
        <v>0</v>
      </c>
    </row>
    <row r="25" spans="1:15">
      <c r="A25" s="16" t="s">
        <v>121</v>
      </c>
      <c r="I25" s="12">
        <f>'2_Retornos'!A24</f>
        <v>0</v>
      </c>
      <c r="J25" s="13">
        <f>SUMPRODUCT($B$5:$F$5,'2_Retornos'!B24:F24)</f>
        <v>0</v>
      </c>
      <c r="K25" s="13">
        <f>'2_Retornos'!G24</f>
        <v>0</v>
      </c>
      <c r="L25" s="13">
        <f>J25-K25</f>
        <v>0</v>
      </c>
      <c r="M25" s="24">
        <f>M24*(1+J25)</f>
        <v>0</v>
      </c>
      <c r="N25" s="13">
        <f>M25/MAX($M$3:M25)-1</f>
        <v>0</v>
      </c>
      <c r="O25" s="24">
        <f>O24*(1+K25)</f>
        <v>0</v>
      </c>
    </row>
    <row r="26" spans="1:15">
      <c r="A26" s="16" t="s">
        <v>122</v>
      </c>
      <c r="I26" s="12">
        <f>'2_Retornos'!A25</f>
        <v>0</v>
      </c>
      <c r="J26" s="13">
        <f>SUMPRODUCT($B$5:$F$5,'2_Retornos'!B25:F25)</f>
        <v>0</v>
      </c>
      <c r="K26" s="13">
        <f>'2_Retornos'!G25</f>
        <v>0</v>
      </c>
      <c r="L26" s="13">
        <f>J26-K26</f>
        <v>0</v>
      </c>
      <c r="M26" s="24">
        <f>M25*(1+J26)</f>
        <v>0</v>
      </c>
      <c r="N26" s="13">
        <f>M26/MAX($M$3:M26)-1</f>
        <v>0</v>
      </c>
      <c r="O26" s="24">
        <f>O25*(1+K26)</f>
        <v>0</v>
      </c>
    </row>
    <row r="27" spans="1:15">
      <c r="I27" s="12">
        <f>'2_Retornos'!A26</f>
        <v>0</v>
      </c>
      <c r="J27" s="13">
        <f>SUMPRODUCT($B$5:$F$5,'2_Retornos'!B26:F26)</f>
        <v>0</v>
      </c>
      <c r="K27" s="13">
        <f>'2_Retornos'!G26</f>
        <v>0</v>
      </c>
      <c r="L27" s="13">
        <f>J27-K27</f>
        <v>0</v>
      </c>
      <c r="M27" s="24">
        <f>M26*(1+J27)</f>
        <v>0</v>
      </c>
      <c r="N27" s="13">
        <f>M27/MAX($M$3:M27)-1</f>
        <v>0</v>
      </c>
      <c r="O27" s="24">
        <f>O26*(1+K27)</f>
        <v>0</v>
      </c>
    </row>
    <row r="28" spans="1:15">
      <c r="I28" s="12">
        <f>'2_Retornos'!A27</f>
        <v>0</v>
      </c>
      <c r="J28" s="13">
        <f>SUMPRODUCT($B$5:$F$5,'2_Retornos'!B27:F27)</f>
        <v>0</v>
      </c>
      <c r="K28" s="13">
        <f>'2_Retornos'!G27</f>
        <v>0</v>
      </c>
      <c r="L28" s="13">
        <f>J28-K28</f>
        <v>0</v>
      </c>
      <c r="M28" s="24">
        <f>M27*(1+J28)</f>
        <v>0</v>
      </c>
      <c r="N28" s="13">
        <f>M28/MAX($M$3:M28)-1</f>
        <v>0</v>
      </c>
      <c r="O28" s="24">
        <f>O27*(1+K28)</f>
        <v>0</v>
      </c>
    </row>
    <row r="29" spans="1:15">
      <c r="I29" s="12">
        <f>'2_Retornos'!A28</f>
        <v>0</v>
      </c>
      <c r="J29" s="13">
        <f>SUMPRODUCT($B$5:$F$5,'2_Retornos'!B28:F28)</f>
        <v>0</v>
      </c>
      <c r="K29" s="13">
        <f>'2_Retornos'!G28</f>
        <v>0</v>
      </c>
      <c r="L29" s="13">
        <f>J29-K29</f>
        <v>0</v>
      </c>
      <c r="M29" s="24">
        <f>M28*(1+J29)</f>
        <v>0</v>
      </c>
      <c r="N29" s="13">
        <f>M29/MAX($M$3:M29)-1</f>
        <v>0</v>
      </c>
      <c r="O29" s="24">
        <f>O28*(1+K29)</f>
        <v>0</v>
      </c>
    </row>
    <row r="30" spans="1:15">
      <c r="I30" s="12">
        <f>'2_Retornos'!A29</f>
        <v>0</v>
      </c>
      <c r="J30" s="13">
        <f>SUMPRODUCT($B$5:$F$5,'2_Retornos'!B29:F29)</f>
        <v>0</v>
      </c>
      <c r="K30" s="13">
        <f>'2_Retornos'!G29</f>
        <v>0</v>
      </c>
      <c r="L30" s="13">
        <f>J30-K30</f>
        <v>0</v>
      </c>
      <c r="M30" s="24">
        <f>M29*(1+J30)</f>
        <v>0</v>
      </c>
      <c r="N30" s="13">
        <f>M30/MAX($M$3:M30)-1</f>
        <v>0</v>
      </c>
      <c r="O30" s="24">
        <f>O29*(1+K30)</f>
        <v>0</v>
      </c>
    </row>
    <row r="31" spans="1:15">
      <c r="I31" s="12">
        <f>'2_Retornos'!A30</f>
        <v>0</v>
      </c>
      <c r="J31" s="13">
        <f>SUMPRODUCT($B$5:$F$5,'2_Retornos'!B30:F30)</f>
        <v>0</v>
      </c>
      <c r="K31" s="13">
        <f>'2_Retornos'!G30</f>
        <v>0</v>
      </c>
      <c r="L31" s="13">
        <f>J31-K31</f>
        <v>0</v>
      </c>
      <c r="M31" s="24">
        <f>M30*(1+J31)</f>
        <v>0</v>
      </c>
      <c r="N31" s="13">
        <f>M31/MAX($M$3:M31)-1</f>
        <v>0</v>
      </c>
      <c r="O31" s="24">
        <f>O30*(1+K31)</f>
        <v>0</v>
      </c>
    </row>
    <row r="32" spans="1:15">
      <c r="I32" s="12">
        <f>'2_Retornos'!A31</f>
        <v>0</v>
      </c>
      <c r="J32" s="13">
        <f>SUMPRODUCT($B$5:$F$5,'2_Retornos'!B31:F31)</f>
        <v>0</v>
      </c>
      <c r="K32" s="13">
        <f>'2_Retornos'!G31</f>
        <v>0</v>
      </c>
      <c r="L32" s="13">
        <f>J32-K32</f>
        <v>0</v>
      </c>
      <c r="M32" s="24">
        <f>M31*(1+J32)</f>
        <v>0</v>
      </c>
      <c r="N32" s="13">
        <f>M32/MAX($M$3:M32)-1</f>
        <v>0</v>
      </c>
      <c r="O32" s="24">
        <f>O31*(1+K32)</f>
        <v>0</v>
      </c>
    </row>
    <row r="33" spans="9:15">
      <c r="I33" s="12">
        <f>'2_Retornos'!A32</f>
        <v>0</v>
      </c>
      <c r="J33" s="13">
        <f>SUMPRODUCT($B$5:$F$5,'2_Retornos'!B32:F32)</f>
        <v>0</v>
      </c>
      <c r="K33" s="13">
        <f>'2_Retornos'!G32</f>
        <v>0</v>
      </c>
      <c r="L33" s="13">
        <f>J33-K33</f>
        <v>0</v>
      </c>
      <c r="M33" s="24">
        <f>M32*(1+J33)</f>
        <v>0</v>
      </c>
      <c r="N33" s="13">
        <f>M33/MAX($M$3:M33)-1</f>
        <v>0</v>
      </c>
      <c r="O33" s="24">
        <f>O32*(1+K33)</f>
        <v>0</v>
      </c>
    </row>
    <row r="34" spans="9:15">
      <c r="I34" s="12">
        <f>'2_Retornos'!A33</f>
        <v>0</v>
      </c>
      <c r="J34" s="13">
        <f>SUMPRODUCT($B$5:$F$5,'2_Retornos'!B33:F33)</f>
        <v>0</v>
      </c>
      <c r="K34" s="13">
        <f>'2_Retornos'!G33</f>
        <v>0</v>
      </c>
      <c r="L34" s="13">
        <f>J34-K34</f>
        <v>0</v>
      </c>
      <c r="M34" s="24">
        <f>M33*(1+J34)</f>
        <v>0</v>
      </c>
      <c r="N34" s="13">
        <f>M34/MAX($M$3:M34)-1</f>
        <v>0</v>
      </c>
      <c r="O34" s="24">
        <f>O33*(1+K34)</f>
        <v>0</v>
      </c>
    </row>
    <row r="35" spans="9:15">
      <c r="I35" s="12">
        <f>'2_Retornos'!A34</f>
        <v>0</v>
      </c>
      <c r="J35" s="13">
        <f>SUMPRODUCT($B$5:$F$5,'2_Retornos'!B34:F34)</f>
        <v>0</v>
      </c>
      <c r="K35" s="13">
        <f>'2_Retornos'!G34</f>
        <v>0</v>
      </c>
      <c r="L35" s="13">
        <f>J35-K35</f>
        <v>0</v>
      </c>
      <c r="M35" s="24">
        <f>M34*(1+J35)</f>
        <v>0</v>
      </c>
      <c r="N35" s="13">
        <f>M35/MAX($M$3:M35)-1</f>
        <v>0</v>
      </c>
      <c r="O35" s="24">
        <f>O34*(1+K35)</f>
        <v>0</v>
      </c>
    </row>
    <row r="36" spans="9:15">
      <c r="I36" s="12">
        <f>'2_Retornos'!A35</f>
        <v>0</v>
      </c>
      <c r="J36" s="13">
        <f>SUMPRODUCT($B$5:$F$5,'2_Retornos'!B35:F35)</f>
        <v>0</v>
      </c>
      <c r="K36" s="13">
        <f>'2_Retornos'!G35</f>
        <v>0</v>
      </c>
      <c r="L36" s="13">
        <f>J36-K36</f>
        <v>0</v>
      </c>
      <c r="M36" s="24">
        <f>M35*(1+J36)</f>
        <v>0</v>
      </c>
      <c r="N36" s="13">
        <f>M36/MAX($M$3:M36)-1</f>
        <v>0</v>
      </c>
      <c r="O36" s="24">
        <f>O35*(1+K36)</f>
        <v>0</v>
      </c>
    </row>
    <row r="37" spans="9:15">
      <c r="I37" s="12">
        <f>'2_Retornos'!A36</f>
        <v>0</v>
      </c>
      <c r="J37" s="13">
        <f>SUMPRODUCT($B$5:$F$5,'2_Retornos'!B36:F36)</f>
        <v>0</v>
      </c>
      <c r="K37" s="13">
        <f>'2_Retornos'!G36</f>
        <v>0</v>
      </c>
      <c r="L37" s="13">
        <f>J37-K37</f>
        <v>0</v>
      </c>
      <c r="M37" s="24">
        <f>M36*(1+J37)</f>
        <v>0</v>
      </c>
      <c r="N37" s="13">
        <f>M37/MAX($M$3:M37)-1</f>
        <v>0</v>
      </c>
      <c r="O37" s="24">
        <f>O36*(1+K37)</f>
        <v>0</v>
      </c>
    </row>
    <row r="38" spans="9:15">
      <c r="I38" s="12">
        <f>'2_Retornos'!A37</f>
        <v>0</v>
      </c>
      <c r="J38" s="13">
        <f>SUMPRODUCT($B$5:$F$5,'2_Retornos'!B37:F37)</f>
        <v>0</v>
      </c>
      <c r="K38" s="13">
        <f>'2_Retornos'!G37</f>
        <v>0</v>
      </c>
      <c r="L38" s="13">
        <f>J38-K38</f>
        <v>0</v>
      </c>
      <c r="M38" s="24">
        <f>M37*(1+J38)</f>
        <v>0</v>
      </c>
      <c r="N38" s="13">
        <f>M38/MAX($M$3:M38)-1</f>
        <v>0</v>
      </c>
      <c r="O38" s="24">
        <f>O37*(1+K38)</f>
        <v>0</v>
      </c>
    </row>
    <row r="39" spans="9:15">
      <c r="I39" s="12">
        <f>'2_Retornos'!A38</f>
        <v>0</v>
      </c>
      <c r="J39" s="13">
        <f>SUMPRODUCT($B$5:$F$5,'2_Retornos'!B38:F38)</f>
        <v>0</v>
      </c>
      <c r="K39" s="13">
        <f>'2_Retornos'!G38</f>
        <v>0</v>
      </c>
      <c r="L39" s="13">
        <f>J39-K39</f>
        <v>0</v>
      </c>
      <c r="M39" s="24">
        <f>M38*(1+J39)</f>
        <v>0</v>
      </c>
      <c r="N39" s="13">
        <f>M39/MAX($M$3:M39)-1</f>
        <v>0</v>
      </c>
      <c r="O39" s="24">
        <f>O38*(1+K39)</f>
        <v>0</v>
      </c>
    </row>
    <row r="40" spans="9:15">
      <c r="I40" s="12">
        <f>'2_Retornos'!A39</f>
        <v>0</v>
      </c>
      <c r="J40" s="13">
        <f>SUMPRODUCT($B$5:$F$5,'2_Retornos'!B39:F39)</f>
        <v>0</v>
      </c>
      <c r="K40" s="13">
        <f>'2_Retornos'!G39</f>
        <v>0</v>
      </c>
      <c r="L40" s="13">
        <f>J40-K40</f>
        <v>0</v>
      </c>
      <c r="M40" s="24">
        <f>M39*(1+J40)</f>
        <v>0</v>
      </c>
      <c r="N40" s="13">
        <f>M40/MAX($M$3:M40)-1</f>
        <v>0</v>
      </c>
      <c r="O40" s="24">
        <f>O39*(1+K40)</f>
        <v>0</v>
      </c>
    </row>
    <row r="41" spans="9:15">
      <c r="I41" s="12">
        <f>'2_Retornos'!A40</f>
        <v>0</v>
      </c>
      <c r="J41" s="13">
        <f>SUMPRODUCT($B$5:$F$5,'2_Retornos'!B40:F40)</f>
        <v>0</v>
      </c>
      <c r="K41" s="13">
        <f>'2_Retornos'!G40</f>
        <v>0</v>
      </c>
      <c r="L41" s="13">
        <f>J41-K41</f>
        <v>0</v>
      </c>
      <c r="M41" s="24">
        <f>M40*(1+J41)</f>
        <v>0</v>
      </c>
      <c r="N41" s="13">
        <f>M41/MAX($M$3:M41)-1</f>
        <v>0</v>
      </c>
      <c r="O41" s="24">
        <f>O40*(1+K41)</f>
        <v>0</v>
      </c>
    </row>
    <row r="42" spans="9:15">
      <c r="I42" s="12">
        <f>'2_Retornos'!A41</f>
        <v>0</v>
      </c>
      <c r="J42" s="13">
        <f>SUMPRODUCT($B$5:$F$5,'2_Retornos'!B41:F41)</f>
        <v>0</v>
      </c>
      <c r="K42" s="13">
        <f>'2_Retornos'!G41</f>
        <v>0</v>
      </c>
      <c r="L42" s="13">
        <f>J42-K42</f>
        <v>0</v>
      </c>
      <c r="M42" s="24">
        <f>M41*(1+J42)</f>
        <v>0</v>
      </c>
      <c r="N42" s="13">
        <f>M42/MAX($M$3:M42)-1</f>
        <v>0</v>
      </c>
      <c r="O42" s="24">
        <f>O41*(1+K42)</f>
        <v>0</v>
      </c>
    </row>
    <row r="43" spans="9:15">
      <c r="I43" s="12">
        <f>'2_Retornos'!A42</f>
        <v>0</v>
      </c>
      <c r="J43" s="13">
        <f>SUMPRODUCT($B$5:$F$5,'2_Retornos'!B42:F42)</f>
        <v>0</v>
      </c>
      <c r="K43" s="13">
        <f>'2_Retornos'!G42</f>
        <v>0</v>
      </c>
      <c r="L43" s="13">
        <f>J43-K43</f>
        <v>0</v>
      </c>
      <c r="M43" s="24">
        <f>M42*(1+J43)</f>
        <v>0</v>
      </c>
      <c r="N43" s="13">
        <f>M43/MAX($M$3:M43)-1</f>
        <v>0</v>
      </c>
      <c r="O43" s="24">
        <f>O42*(1+K43)</f>
        <v>0</v>
      </c>
    </row>
    <row r="44" spans="9:15">
      <c r="I44" s="12">
        <f>'2_Retornos'!A43</f>
        <v>0</v>
      </c>
      <c r="J44" s="13">
        <f>SUMPRODUCT($B$5:$F$5,'2_Retornos'!B43:F43)</f>
        <v>0</v>
      </c>
      <c r="K44" s="13">
        <f>'2_Retornos'!G43</f>
        <v>0</v>
      </c>
      <c r="L44" s="13">
        <f>J44-K44</f>
        <v>0</v>
      </c>
      <c r="M44" s="24">
        <f>M43*(1+J44)</f>
        <v>0</v>
      </c>
      <c r="N44" s="13">
        <f>M44/MAX($M$3:M44)-1</f>
        <v>0</v>
      </c>
      <c r="O44" s="24">
        <f>O43*(1+K44)</f>
        <v>0</v>
      </c>
    </row>
    <row r="45" spans="9:15">
      <c r="I45" s="12">
        <f>'2_Retornos'!A44</f>
        <v>0</v>
      </c>
      <c r="J45" s="13">
        <f>SUMPRODUCT($B$5:$F$5,'2_Retornos'!B44:F44)</f>
        <v>0</v>
      </c>
      <c r="K45" s="13">
        <f>'2_Retornos'!G44</f>
        <v>0</v>
      </c>
      <c r="L45" s="13">
        <f>J45-K45</f>
        <v>0</v>
      </c>
      <c r="M45" s="24">
        <f>M44*(1+J45)</f>
        <v>0</v>
      </c>
      <c r="N45" s="13">
        <f>M45/MAX($M$3:M45)-1</f>
        <v>0</v>
      </c>
      <c r="O45" s="24">
        <f>O44*(1+K45)</f>
        <v>0</v>
      </c>
    </row>
    <row r="46" spans="9:15">
      <c r="I46" s="12">
        <f>'2_Retornos'!A45</f>
        <v>0</v>
      </c>
      <c r="J46" s="13">
        <f>SUMPRODUCT($B$5:$F$5,'2_Retornos'!B45:F45)</f>
        <v>0</v>
      </c>
      <c r="K46" s="13">
        <f>'2_Retornos'!G45</f>
        <v>0</v>
      </c>
      <c r="L46" s="13">
        <f>J46-K46</f>
        <v>0</v>
      </c>
      <c r="M46" s="24">
        <f>M45*(1+J46)</f>
        <v>0</v>
      </c>
      <c r="N46" s="13">
        <f>M46/MAX($M$3:M46)-1</f>
        <v>0</v>
      </c>
      <c r="O46" s="24">
        <f>O45*(1+K46)</f>
        <v>0</v>
      </c>
    </row>
    <row r="47" spans="9:15">
      <c r="I47" s="12">
        <f>'2_Retornos'!A46</f>
        <v>0</v>
      </c>
      <c r="J47" s="13">
        <f>SUMPRODUCT($B$5:$F$5,'2_Retornos'!B46:F46)</f>
        <v>0</v>
      </c>
      <c r="K47" s="13">
        <f>'2_Retornos'!G46</f>
        <v>0</v>
      </c>
      <c r="L47" s="13">
        <f>J47-K47</f>
        <v>0</v>
      </c>
      <c r="M47" s="24">
        <f>M46*(1+J47)</f>
        <v>0</v>
      </c>
      <c r="N47" s="13">
        <f>M47/MAX($M$3:M47)-1</f>
        <v>0</v>
      </c>
      <c r="O47" s="24">
        <f>O46*(1+K47)</f>
        <v>0</v>
      </c>
    </row>
    <row r="48" spans="9:15">
      <c r="I48" s="12">
        <f>'2_Retornos'!A47</f>
        <v>0</v>
      </c>
      <c r="J48" s="13">
        <f>SUMPRODUCT($B$5:$F$5,'2_Retornos'!B47:F47)</f>
        <v>0</v>
      </c>
      <c r="K48" s="13">
        <f>'2_Retornos'!G47</f>
        <v>0</v>
      </c>
      <c r="L48" s="13">
        <f>J48-K48</f>
        <v>0</v>
      </c>
      <c r="M48" s="24">
        <f>M47*(1+J48)</f>
        <v>0</v>
      </c>
      <c r="N48" s="13">
        <f>M48/MAX($M$3:M48)-1</f>
        <v>0</v>
      </c>
      <c r="O48" s="24">
        <f>O47*(1+K48)</f>
        <v>0</v>
      </c>
    </row>
    <row r="49" spans="9:15">
      <c r="I49" s="12">
        <f>'2_Retornos'!A48</f>
        <v>0</v>
      </c>
      <c r="J49" s="13">
        <f>SUMPRODUCT($B$5:$F$5,'2_Retornos'!B48:F48)</f>
        <v>0</v>
      </c>
      <c r="K49" s="13">
        <f>'2_Retornos'!G48</f>
        <v>0</v>
      </c>
      <c r="L49" s="13">
        <f>J49-K49</f>
        <v>0</v>
      </c>
      <c r="M49" s="24">
        <f>M48*(1+J49)</f>
        <v>0</v>
      </c>
      <c r="N49" s="13">
        <f>M49/MAX($M$3:M49)-1</f>
        <v>0</v>
      </c>
      <c r="O49" s="24">
        <f>O48*(1+K49)</f>
        <v>0</v>
      </c>
    </row>
    <row r="50" spans="9:15">
      <c r="I50" s="12">
        <f>'2_Retornos'!A49</f>
        <v>0</v>
      </c>
      <c r="J50" s="13">
        <f>SUMPRODUCT($B$5:$F$5,'2_Retornos'!B49:F49)</f>
        <v>0</v>
      </c>
      <c r="K50" s="13">
        <f>'2_Retornos'!G49</f>
        <v>0</v>
      </c>
      <c r="L50" s="13">
        <f>J50-K50</f>
        <v>0</v>
      </c>
      <c r="M50" s="24">
        <f>M49*(1+J50)</f>
        <v>0</v>
      </c>
      <c r="N50" s="13">
        <f>M50/MAX($M$3:M50)-1</f>
        <v>0</v>
      </c>
      <c r="O50" s="24">
        <f>O49*(1+K50)</f>
        <v>0</v>
      </c>
    </row>
    <row r="51" spans="9:15">
      <c r="I51" s="12">
        <f>'2_Retornos'!A50</f>
        <v>0</v>
      </c>
      <c r="J51" s="13">
        <f>SUMPRODUCT($B$5:$F$5,'2_Retornos'!B50:F50)</f>
        <v>0</v>
      </c>
      <c r="K51" s="13">
        <f>'2_Retornos'!G50</f>
        <v>0</v>
      </c>
      <c r="L51" s="13">
        <f>J51-K51</f>
        <v>0</v>
      </c>
      <c r="M51" s="24">
        <f>M50*(1+J51)</f>
        <v>0</v>
      </c>
      <c r="N51" s="13">
        <f>M51/MAX($M$3:M51)-1</f>
        <v>0</v>
      </c>
      <c r="O51" s="24">
        <f>O50*(1+K51)</f>
        <v>0</v>
      </c>
    </row>
    <row r="52" spans="9:15">
      <c r="I52" s="12">
        <f>'2_Retornos'!A51</f>
        <v>0</v>
      </c>
      <c r="J52" s="13">
        <f>SUMPRODUCT($B$5:$F$5,'2_Retornos'!B51:F51)</f>
        <v>0</v>
      </c>
      <c r="K52" s="13">
        <f>'2_Retornos'!G51</f>
        <v>0</v>
      </c>
      <c r="L52" s="13">
        <f>J52-K52</f>
        <v>0</v>
      </c>
      <c r="M52" s="24">
        <f>M51*(1+J52)</f>
        <v>0</v>
      </c>
      <c r="N52" s="13">
        <f>M52/MAX($M$3:M52)-1</f>
        <v>0</v>
      </c>
      <c r="O52" s="24">
        <f>O51*(1+K52)</f>
        <v>0</v>
      </c>
    </row>
    <row r="53" spans="9:15">
      <c r="I53" s="12">
        <f>'2_Retornos'!A52</f>
        <v>0</v>
      </c>
      <c r="J53" s="13">
        <f>SUMPRODUCT($B$5:$F$5,'2_Retornos'!B52:F52)</f>
        <v>0</v>
      </c>
      <c r="K53" s="13">
        <f>'2_Retornos'!G52</f>
        <v>0</v>
      </c>
      <c r="L53" s="13">
        <f>J53-K53</f>
        <v>0</v>
      </c>
      <c r="M53" s="24">
        <f>M52*(1+J53)</f>
        <v>0</v>
      </c>
      <c r="N53" s="13">
        <f>M53/MAX($M$3:M53)-1</f>
        <v>0</v>
      </c>
      <c r="O53" s="24">
        <f>O52*(1+K53)</f>
        <v>0</v>
      </c>
    </row>
    <row r="54" spans="9:15">
      <c r="I54" s="12">
        <f>'2_Retornos'!A53</f>
        <v>0</v>
      </c>
      <c r="J54" s="13">
        <f>SUMPRODUCT($B$5:$F$5,'2_Retornos'!B53:F53)</f>
        <v>0</v>
      </c>
      <c r="K54" s="13">
        <f>'2_Retornos'!G53</f>
        <v>0</v>
      </c>
      <c r="L54" s="13">
        <f>J54-K54</f>
        <v>0</v>
      </c>
      <c r="M54" s="24">
        <f>M53*(1+J54)</f>
        <v>0</v>
      </c>
      <c r="N54" s="13">
        <f>M54/MAX($M$3:M54)-1</f>
        <v>0</v>
      </c>
      <c r="O54" s="24">
        <f>O53*(1+K54)</f>
        <v>0</v>
      </c>
    </row>
    <row r="55" spans="9:15">
      <c r="I55" s="12">
        <f>'2_Retornos'!A54</f>
        <v>0</v>
      </c>
      <c r="J55" s="13">
        <f>SUMPRODUCT($B$5:$F$5,'2_Retornos'!B54:F54)</f>
        <v>0</v>
      </c>
      <c r="K55" s="13">
        <f>'2_Retornos'!G54</f>
        <v>0</v>
      </c>
      <c r="L55" s="13">
        <f>J55-K55</f>
        <v>0</v>
      </c>
      <c r="M55" s="24">
        <f>M54*(1+J55)</f>
        <v>0</v>
      </c>
      <c r="N55" s="13">
        <f>M55/MAX($M$3:M55)-1</f>
        <v>0</v>
      </c>
      <c r="O55" s="24">
        <f>O54*(1+K55)</f>
        <v>0</v>
      </c>
    </row>
    <row r="56" spans="9:15">
      <c r="I56" s="12">
        <f>'2_Retornos'!A55</f>
        <v>0</v>
      </c>
      <c r="J56" s="13">
        <f>SUMPRODUCT($B$5:$F$5,'2_Retornos'!B55:F55)</f>
        <v>0</v>
      </c>
      <c r="K56" s="13">
        <f>'2_Retornos'!G55</f>
        <v>0</v>
      </c>
      <c r="L56" s="13">
        <f>J56-K56</f>
        <v>0</v>
      </c>
      <c r="M56" s="24">
        <f>M55*(1+J56)</f>
        <v>0</v>
      </c>
      <c r="N56" s="13">
        <f>M56/MAX($M$3:M56)-1</f>
        <v>0</v>
      </c>
      <c r="O56" s="24">
        <f>O55*(1+K56)</f>
        <v>0</v>
      </c>
    </row>
    <row r="57" spans="9:15">
      <c r="I57" s="12">
        <f>'2_Retornos'!A56</f>
        <v>0</v>
      </c>
      <c r="J57" s="13">
        <f>SUMPRODUCT($B$5:$F$5,'2_Retornos'!B56:F56)</f>
        <v>0</v>
      </c>
      <c r="K57" s="13">
        <f>'2_Retornos'!G56</f>
        <v>0</v>
      </c>
      <c r="L57" s="13">
        <f>J57-K57</f>
        <v>0</v>
      </c>
      <c r="M57" s="24">
        <f>M56*(1+J57)</f>
        <v>0</v>
      </c>
      <c r="N57" s="13">
        <f>M57/MAX($M$3:M57)-1</f>
        <v>0</v>
      </c>
      <c r="O57" s="24">
        <f>O56*(1+K57)</f>
        <v>0</v>
      </c>
    </row>
    <row r="58" spans="9:15">
      <c r="I58" s="12">
        <f>'2_Retornos'!A57</f>
        <v>0</v>
      </c>
      <c r="J58" s="13">
        <f>SUMPRODUCT($B$5:$F$5,'2_Retornos'!B57:F57)</f>
        <v>0</v>
      </c>
      <c r="K58" s="13">
        <f>'2_Retornos'!G57</f>
        <v>0</v>
      </c>
      <c r="L58" s="13">
        <f>J58-K58</f>
        <v>0</v>
      </c>
      <c r="M58" s="24">
        <f>M57*(1+J58)</f>
        <v>0</v>
      </c>
      <c r="N58" s="13">
        <f>M58/MAX($M$3:M58)-1</f>
        <v>0</v>
      </c>
      <c r="O58" s="24">
        <f>O57*(1+K58)</f>
        <v>0</v>
      </c>
    </row>
    <row r="59" spans="9:15">
      <c r="I59" s="12">
        <f>'2_Retornos'!A58</f>
        <v>0</v>
      </c>
      <c r="J59" s="13">
        <f>SUMPRODUCT($B$5:$F$5,'2_Retornos'!B58:F58)</f>
        <v>0</v>
      </c>
      <c r="K59" s="13">
        <f>'2_Retornos'!G58</f>
        <v>0</v>
      </c>
      <c r="L59" s="13">
        <f>J59-K59</f>
        <v>0</v>
      </c>
      <c r="M59" s="24">
        <f>M58*(1+J59)</f>
        <v>0</v>
      </c>
      <c r="N59" s="13">
        <f>M59/MAX($M$3:M59)-1</f>
        <v>0</v>
      </c>
      <c r="O59" s="24">
        <f>O58*(1+K59)</f>
        <v>0</v>
      </c>
    </row>
    <row r="60" spans="9:15">
      <c r="I60" s="12">
        <f>'2_Retornos'!A59</f>
        <v>0</v>
      </c>
      <c r="J60" s="13">
        <f>SUMPRODUCT($B$5:$F$5,'2_Retornos'!B59:F59)</f>
        <v>0</v>
      </c>
      <c r="K60" s="13">
        <f>'2_Retornos'!G59</f>
        <v>0</v>
      </c>
      <c r="L60" s="13">
        <f>J60-K60</f>
        <v>0</v>
      </c>
      <c r="M60" s="24">
        <f>M59*(1+J60)</f>
        <v>0</v>
      </c>
      <c r="N60" s="13">
        <f>M60/MAX($M$3:M60)-1</f>
        <v>0</v>
      </c>
      <c r="O60" s="24">
        <f>O59*(1+K60)</f>
        <v>0</v>
      </c>
    </row>
    <row r="61" spans="9:15">
      <c r="I61" s="12">
        <f>'2_Retornos'!A60</f>
        <v>0</v>
      </c>
      <c r="J61" s="13">
        <f>SUMPRODUCT($B$5:$F$5,'2_Retornos'!B60:F60)</f>
        <v>0</v>
      </c>
      <c r="K61" s="13">
        <f>'2_Retornos'!G60</f>
        <v>0</v>
      </c>
      <c r="L61" s="13">
        <f>J61-K61</f>
        <v>0</v>
      </c>
      <c r="M61" s="24">
        <f>M60*(1+J61)</f>
        <v>0</v>
      </c>
      <c r="N61" s="13">
        <f>M61/MAX($M$3:M61)-1</f>
        <v>0</v>
      </c>
      <c r="O61" s="24">
        <f>O60*(1+K61)</f>
        <v>0</v>
      </c>
    </row>
    <row r="62" spans="9:15">
      <c r="I62" s="12">
        <f>'2_Retornos'!A61</f>
        <v>0</v>
      </c>
      <c r="J62" s="13">
        <f>SUMPRODUCT($B$5:$F$5,'2_Retornos'!B61:F61)</f>
        <v>0</v>
      </c>
      <c r="K62" s="13">
        <f>'2_Retornos'!G61</f>
        <v>0</v>
      </c>
      <c r="L62" s="13">
        <f>J62-K62</f>
        <v>0</v>
      </c>
      <c r="M62" s="24">
        <f>M61*(1+J62)</f>
        <v>0</v>
      </c>
      <c r="N62" s="13">
        <f>M62/MAX($M$3:M62)-1</f>
        <v>0</v>
      </c>
      <c r="O62" s="24">
        <f>O61*(1+K62)</f>
        <v>0</v>
      </c>
    </row>
    <row r="63" spans="9:15">
      <c r="I63" s="12">
        <f>'2_Retornos'!A62</f>
        <v>0</v>
      </c>
      <c r="J63" s="13">
        <f>SUMPRODUCT($B$5:$F$5,'2_Retornos'!B62:F62)</f>
        <v>0</v>
      </c>
      <c r="K63" s="13">
        <f>'2_Retornos'!G62</f>
        <v>0</v>
      </c>
      <c r="L63" s="13">
        <f>J63-K63</f>
        <v>0</v>
      </c>
      <c r="M63" s="24">
        <f>M62*(1+J63)</f>
        <v>0</v>
      </c>
      <c r="N63" s="13">
        <f>M63/MAX($M$3:M63)-1</f>
        <v>0</v>
      </c>
      <c r="O63" s="24">
        <f>O62*(1+K63)</f>
        <v>0</v>
      </c>
    </row>
    <row r="64" spans="9:15">
      <c r="I64" s="12">
        <f>'2_Retornos'!A63</f>
        <v>0</v>
      </c>
      <c r="J64" s="13">
        <f>SUMPRODUCT($B$5:$F$5,'2_Retornos'!B63:F63)</f>
        <v>0</v>
      </c>
      <c r="K64" s="13">
        <f>'2_Retornos'!G63</f>
        <v>0</v>
      </c>
      <c r="L64" s="13">
        <f>J64-K64</f>
        <v>0</v>
      </c>
      <c r="M64" s="24">
        <f>M63*(1+J64)</f>
        <v>0</v>
      </c>
      <c r="N64" s="13">
        <f>M64/MAX($M$3:M64)-1</f>
        <v>0</v>
      </c>
      <c r="O64" s="24">
        <f>O63*(1+K64)</f>
        <v>0</v>
      </c>
    </row>
    <row r="65" spans="9:15">
      <c r="I65" s="12">
        <f>'2_Retornos'!A64</f>
        <v>0</v>
      </c>
      <c r="J65" s="13">
        <f>SUMPRODUCT($B$5:$F$5,'2_Retornos'!B64:F64)</f>
        <v>0</v>
      </c>
      <c r="K65" s="13">
        <f>'2_Retornos'!G64</f>
        <v>0</v>
      </c>
      <c r="L65" s="13">
        <f>J65-K65</f>
        <v>0</v>
      </c>
      <c r="M65" s="24">
        <f>M64*(1+J65)</f>
        <v>0</v>
      </c>
      <c r="N65" s="13">
        <f>M65/MAX($M$3:M65)-1</f>
        <v>0</v>
      </c>
      <c r="O65" s="24">
        <f>O64*(1+K65)</f>
        <v>0</v>
      </c>
    </row>
    <row r="66" spans="9:15">
      <c r="I66" s="12">
        <f>'2_Retornos'!A65</f>
        <v>0</v>
      </c>
      <c r="J66" s="13">
        <f>SUMPRODUCT($B$5:$F$5,'2_Retornos'!B65:F65)</f>
        <v>0</v>
      </c>
      <c r="K66" s="13">
        <f>'2_Retornos'!G65</f>
        <v>0</v>
      </c>
      <c r="L66" s="13">
        <f>J66-K66</f>
        <v>0</v>
      </c>
      <c r="M66" s="24">
        <f>M65*(1+J66)</f>
        <v>0</v>
      </c>
      <c r="N66" s="13">
        <f>M66/MAX($M$3:M66)-1</f>
        <v>0</v>
      </c>
      <c r="O66" s="24">
        <f>O65*(1+K66)</f>
        <v>0</v>
      </c>
    </row>
    <row r="67" spans="9:15">
      <c r="I67" s="12">
        <f>'2_Retornos'!A66</f>
        <v>0</v>
      </c>
      <c r="J67" s="13">
        <f>SUMPRODUCT($B$5:$F$5,'2_Retornos'!B66:F66)</f>
        <v>0</v>
      </c>
      <c r="K67" s="13">
        <f>'2_Retornos'!G66</f>
        <v>0</v>
      </c>
      <c r="L67" s="13">
        <f>J67-K67</f>
        <v>0</v>
      </c>
      <c r="M67" s="24">
        <f>M66*(1+J67)</f>
        <v>0</v>
      </c>
      <c r="N67" s="13">
        <f>M67/MAX($M$3:M67)-1</f>
        <v>0</v>
      </c>
      <c r="O67" s="24">
        <f>O66*(1+K67)</f>
        <v>0</v>
      </c>
    </row>
    <row r="68" spans="9:15">
      <c r="I68" s="12">
        <f>'2_Retornos'!A67</f>
        <v>0</v>
      </c>
      <c r="J68" s="13">
        <f>SUMPRODUCT($B$5:$F$5,'2_Retornos'!B67:F67)</f>
        <v>0</v>
      </c>
      <c r="K68" s="13">
        <f>'2_Retornos'!G67</f>
        <v>0</v>
      </c>
      <c r="L68" s="13">
        <f>J68-K68</f>
        <v>0</v>
      </c>
      <c r="M68" s="24">
        <f>M67*(1+J68)</f>
        <v>0</v>
      </c>
      <c r="N68" s="13">
        <f>M68/MAX($M$3:M68)-1</f>
        <v>0</v>
      </c>
      <c r="O68" s="24">
        <f>O67*(1+K68)</f>
        <v>0</v>
      </c>
    </row>
    <row r="69" spans="9:15">
      <c r="I69" s="12">
        <f>'2_Retornos'!A68</f>
        <v>0</v>
      </c>
      <c r="J69" s="13">
        <f>SUMPRODUCT($B$5:$F$5,'2_Retornos'!B68:F68)</f>
        <v>0</v>
      </c>
      <c r="K69" s="13">
        <f>'2_Retornos'!G68</f>
        <v>0</v>
      </c>
      <c r="L69" s="13">
        <f>J69-K69</f>
        <v>0</v>
      </c>
      <c r="M69" s="24">
        <f>M68*(1+J69)</f>
        <v>0</v>
      </c>
      <c r="N69" s="13">
        <f>M69/MAX($M$3:M69)-1</f>
        <v>0</v>
      </c>
      <c r="O69" s="24">
        <f>O68*(1+K69)</f>
        <v>0</v>
      </c>
    </row>
    <row r="70" spans="9:15">
      <c r="I70" s="12">
        <f>'2_Retornos'!A69</f>
        <v>0</v>
      </c>
      <c r="J70" s="13">
        <f>SUMPRODUCT($B$5:$F$5,'2_Retornos'!B69:F69)</f>
        <v>0</v>
      </c>
      <c r="K70" s="13">
        <f>'2_Retornos'!G69</f>
        <v>0</v>
      </c>
      <c r="L70" s="13">
        <f>J70-K70</f>
        <v>0</v>
      </c>
      <c r="M70" s="24">
        <f>M69*(1+J70)</f>
        <v>0</v>
      </c>
      <c r="N70" s="13">
        <f>M70/MAX($M$3:M70)-1</f>
        <v>0</v>
      </c>
      <c r="O70" s="24">
        <f>O69*(1+K70)</f>
        <v>0</v>
      </c>
    </row>
    <row r="71" spans="9:15">
      <c r="I71" s="12">
        <f>'2_Retornos'!A70</f>
        <v>0</v>
      </c>
      <c r="J71" s="13">
        <f>SUMPRODUCT($B$5:$F$5,'2_Retornos'!B70:F70)</f>
        <v>0</v>
      </c>
      <c r="K71" s="13">
        <f>'2_Retornos'!G70</f>
        <v>0</v>
      </c>
      <c r="L71" s="13">
        <f>J71-K71</f>
        <v>0</v>
      </c>
      <c r="M71" s="24">
        <f>M70*(1+J71)</f>
        <v>0</v>
      </c>
      <c r="N71" s="13">
        <f>M71/MAX($M$3:M71)-1</f>
        <v>0</v>
      </c>
      <c r="O71" s="24">
        <f>O70*(1+K71)</f>
        <v>0</v>
      </c>
    </row>
    <row r="72" spans="9:15">
      <c r="I72" s="12">
        <f>'2_Retornos'!A71</f>
        <v>0</v>
      </c>
      <c r="J72" s="13">
        <f>SUMPRODUCT($B$5:$F$5,'2_Retornos'!B71:F71)</f>
        <v>0</v>
      </c>
      <c r="K72" s="13">
        <f>'2_Retornos'!G71</f>
        <v>0</v>
      </c>
      <c r="L72" s="13">
        <f>J72-K72</f>
        <v>0</v>
      </c>
      <c r="M72" s="24">
        <f>M71*(1+J72)</f>
        <v>0</v>
      </c>
      <c r="N72" s="13">
        <f>M72/MAX($M$3:M72)-1</f>
        <v>0</v>
      </c>
      <c r="O72" s="24">
        <f>O71*(1+K72)</f>
        <v>0</v>
      </c>
    </row>
    <row r="73" spans="9:15">
      <c r="I73" s="12">
        <f>'2_Retornos'!A72</f>
        <v>0</v>
      </c>
      <c r="J73" s="13">
        <f>SUMPRODUCT($B$5:$F$5,'2_Retornos'!B72:F72)</f>
        <v>0</v>
      </c>
      <c r="K73" s="13">
        <f>'2_Retornos'!G72</f>
        <v>0</v>
      </c>
      <c r="L73" s="13">
        <f>J73-K73</f>
        <v>0</v>
      </c>
      <c r="M73" s="24">
        <f>M72*(1+J73)</f>
        <v>0</v>
      </c>
      <c r="N73" s="13">
        <f>M73/MAX($M$3:M73)-1</f>
        <v>0</v>
      </c>
      <c r="O73" s="24">
        <f>O72*(1+K73)</f>
        <v>0</v>
      </c>
    </row>
    <row r="74" spans="9:15">
      <c r="I74" s="12">
        <f>'2_Retornos'!A73</f>
        <v>0</v>
      </c>
      <c r="J74" s="13">
        <f>SUMPRODUCT($B$5:$F$5,'2_Retornos'!B73:F73)</f>
        <v>0</v>
      </c>
      <c r="K74" s="13">
        <f>'2_Retornos'!G73</f>
        <v>0</v>
      </c>
      <c r="L74" s="13">
        <f>J74-K74</f>
        <v>0</v>
      </c>
      <c r="M74" s="24">
        <f>M73*(1+J74)</f>
        <v>0</v>
      </c>
      <c r="N74" s="13">
        <f>M74/MAX($M$3:M74)-1</f>
        <v>0</v>
      </c>
      <c r="O74" s="24">
        <f>O73*(1+K74)</f>
        <v>0</v>
      </c>
    </row>
    <row r="75" spans="9:15">
      <c r="I75" s="12">
        <f>'2_Retornos'!A74</f>
        <v>0</v>
      </c>
      <c r="J75" s="13">
        <f>SUMPRODUCT($B$5:$F$5,'2_Retornos'!B74:F74)</f>
        <v>0</v>
      </c>
      <c r="K75" s="13">
        <f>'2_Retornos'!G74</f>
        <v>0</v>
      </c>
      <c r="L75" s="13">
        <f>J75-K75</f>
        <v>0</v>
      </c>
      <c r="M75" s="24">
        <f>M74*(1+J75)</f>
        <v>0</v>
      </c>
      <c r="N75" s="13">
        <f>M75/MAX($M$3:M75)-1</f>
        <v>0</v>
      </c>
      <c r="O75" s="24">
        <f>O74*(1+K75)</f>
        <v>0</v>
      </c>
    </row>
    <row r="76" spans="9:15">
      <c r="I76" s="12">
        <f>'2_Retornos'!A75</f>
        <v>0</v>
      </c>
      <c r="J76" s="13">
        <f>SUMPRODUCT($B$5:$F$5,'2_Retornos'!B75:F75)</f>
        <v>0</v>
      </c>
      <c r="K76" s="13">
        <f>'2_Retornos'!G75</f>
        <v>0</v>
      </c>
      <c r="L76" s="13">
        <f>J76-K76</f>
        <v>0</v>
      </c>
      <c r="M76" s="24">
        <f>M75*(1+J76)</f>
        <v>0</v>
      </c>
      <c r="N76" s="13">
        <f>M76/MAX($M$3:M76)-1</f>
        <v>0</v>
      </c>
      <c r="O76" s="24">
        <f>O75*(1+K76)</f>
        <v>0</v>
      </c>
    </row>
    <row r="77" spans="9:15">
      <c r="I77" s="12">
        <f>'2_Retornos'!A76</f>
        <v>0</v>
      </c>
      <c r="J77" s="13">
        <f>SUMPRODUCT($B$5:$F$5,'2_Retornos'!B76:F76)</f>
        <v>0</v>
      </c>
      <c r="K77" s="13">
        <f>'2_Retornos'!G76</f>
        <v>0</v>
      </c>
      <c r="L77" s="13">
        <f>J77-K77</f>
        <v>0</v>
      </c>
      <c r="M77" s="24">
        <f>M76*(1+J77)</f>
        <v>0</v>
      </c>
      <c r="N77" s="13">
        <f>M77/MAX($M$3:M77)-1</f>
        <v>0</v>
      </c>
      <c r="O77" s="24">
        <f>O76*(1+K77)</f>
        <v>0</v>
      </c>
    </row>
    <row r="78" spans="9:15">
      <c r="I78" s="12">
        <f>'2_Retornos'!A77</f>
        <v>0</v>
      </c>
      <c r="J78" s="13">
        <f>SUMPRODUCT($B$5:$F$5,'2_Retornos'!B77:F77)</f>
        <v>0</v>
      </c>
      <c r="K78" s="13">
        <f>'2_Retornos'!G77</f>
        <v>0</v>
      </c>
      <c r="L78" s="13">
        <f>J78-K78</f>
        <v>0</v>
      </c>
      <c r="M78" s="24">
        <f>M77*(1+J78)</f>
        <v>0</v>
      </c>
      <c r="N78" s="13">
        <f>M78/MAX($M$3:M78)-1</f>
        <v>0</v>
      </c>
      <c r="O78" s="24">
        <f>O77*(1+K78)</f>
        <v>0</v>
      </c>
    </row>
    <row r="79" spans="9:15">
      <c r="I79" s="12">
        <f>'2_Retornos'!A78</f>
        <v>0</v>
      </c>
      <c r="J79" s="13">
        <f>SUMPRODUCT($B$5:$F$5,'2_Retornos'!B78:F78)</f>
        <v>0</v>
      </c>
      <c r="K79" s="13">
        <f>'2_Retornos'!G78</f>
        <v>0</v>
      </c>
      <c r="L79" s="13">
        <f>J79-K79</f>
        <v>0</v>
      </c>
      <c r="M79" s="24">
        <f>M78*(1+J79)</f>
        <v>0</v>
      </c>
      <c r="N79" s="13">
        <f>M79/MAX($M$3:M79)-1</f>
        <v>0</v>
      </c>
      <c r="O79" s="24">
        <f>O78*(1+K79)</f>
        <v>0</v>
      </c>
    </row>
    <row r="80" spans="9:15">
      <c r="I80" s="12">
        <f>'2_Retornos'!A79</f>
        <v>0</v>
      </c>
      <c r="J80" s="13">
        <f>SUMPRODUCT($B$5:$F$5,'2_Retornos'!B79:F79)</f>
        <v>0</v>
      </c>
      <c r="K80" s="13">
        <f>'2_Retornos'!G79</f>
        <v>0</v>
      </c>
      <c r="L80" s="13">
        <f>J80-K80</f>
        <v>0</v>
      </c>
      <c r="M80" s="24">
        <f>M79*(1+J80)</f>
        <v>0</v>
      </c>
      <c r="N80" s="13">
        <f>M80/MAX($M$3:M80)-1</f>
        <v>0</v>
      </c>
      <c r="O80" s="24">
        <f>O79*(1+K80)</f>
        <v>0</v>
      </c>
    </row>
    <row r="81" spans="9:15">
      <c r="I81" s="12">
        <f>'2_Retornos'!A80</f>
        <v>0</v>
      </c>
      <c r="J81" s="13">
        <f>SUMPRODUCT($B$5:$F$5,'2_Retornos'!B80:F80)</f>
        <v>0</v>
      </c>
      <c r="K81" s="13">
        <f>'2_Retornos'!G80</f>
        <v>0</v>
      </c>
      <c r="L81" s="13">
        <f>J81-K81</f>
        <v>0</v>
      </c>
      <c r="M81" s="24">
        <f>M80*(1+J81)</f>
        <v>0</v>
      </c>
      <c r="N81" s="13">
        <f>M81/MAX($M$3:M81)-1</f>
        <v>0</v>
      </c>
      <c r="O81" s="24">
        <f>O80*(1+K81)</f>
        <v>0</v>
      </c>
    </row>
    <row r="82" spans="9:15">
      <c r="I82" s="12">
        <f>'2_Retornos'!A81</f>
        <v>0</v>
      </c>
      <c r="J82" s="13">
        <f>SUMPRODUCT($B$5:$F$5,'2_Retornos'!B81:F81)</f>
        <v>0</v>
      </c>
      <c r="K82" s="13">
        <f>'2_Retornos'!G81</f>
        <v>0</v>
      </c>
      <c r="L82" s="13">
        <f>J82-K82</f>
        <v>0</v>
      </c>
      <c r="M82" s="24">
        <f>M81*(1+J82)</f>
        <v>0</v>
      </c>
      <c r="N82" s="13">
        <f>M82/MAX($M$3:M82)-1</f>
        <v>0</v>
      </c>
      <c r="O82" s="24">
        <f>O81*(1+K82)</f>
        <v>0</v>
      </c>
    </row>
    <row r="83" spans="9:15">
      <c r="I83" s="12">
        <f>'2_Retornos'!A82</f>
        <v>0</v>
      </c>
      <c r="J83" s="13">
        <f>SUMPRODUCT($B$5:$F$5,'2_Retornos'!B82:F82)</f>
        <v>0</v>
      </c>
      <c r="K83" s="13">
        <f>'2_Retornos'!G82</f>
        <v>0</v>
      </c>
      <c r="L83" s="13">
        <f>J83-K83</f>
        <v>0</v>
      </c>
      <c r="M83" s="24">
        <f>M82*(1+J83)</f>
        <v>0</v>
      </c>
      <c r="N83" s="13">
        <f>M83/MAX($M$3:M83)-1</f>
        <v>0</v>
      </c>
      <c r="O83" s="24">
        <f>O82*(1+K83)</f>
        <v>0</v>
      </c>
    </row>
    <row r="84" spans="9:15">
      <c r="I84" s="12">
        <f>'2_Retornos'!A83</f>
        <v>0</v>
      </c>
      <c r="J84" s="13">
        <f>SUMPRODUCT($B$5:$F$5,'2_Retornos'!B83:F83)</f>
        <v>0</v>
      </c>
      <c r="K84" s="13">
        <f>'2_Retornos'!G83</f>
        <v>0</v>
      </c>
      <c r="L84" s="13">
        <f>J84-K84</f>
        <v>0</v>
      </c>
      <c r="M84" s="24">
        <f>M83*(1+J84)</f>
        <v>0</v>
      </c>
      <c r="N84" s="13">
        <f>M84/MAX($M$3:M84)-1</f>
        <v>0</v>
      </c>
      <c r="O84" s="24">
        <f>O83*(1+K84)</f>
        <v>0</v>
      </c>
    </row>
    <row r="85" spans="9:15">
      <c r="I85" s="12">
        <f>'2_Retornos'!A84</f>
        <v>0</v>
      </c>
      <c r="J85" s="13">
        <f>SUMPRODUCT($B$5:$F$5,'2_Retornos'!B84:F84)</f>
        <v>0</v>
      </c>
      <c r="K85" s="13">
        <f>'2_Retornos'!G84</f>
        <v>0</v>
      </c>
      <c r="L85" s="13">
        <f>J85-K85</f>
        <v>0</v>
      </c>
      <c r="M85" s="24">
        <f>M84*(1+J85)</f>
        <v>0</v>
      </c>
      <c r="N85" s="13">
        <f>M85/MAX($M$3:M85)-1</f>
        <v>0</v>
      </c>
      <c r="O85" s="24">
        <f>O84*(1+K85)</f>
        <v>0</v>
      </c>
    </row>
    <row r="86" spans="9:15">
      <c r="I86" s="12">
        <f>'2_Retornos'!A85</f>
        <v>0</v>
      </c>
      <c r="J86" s="13">
        <f>SUMPRODUCT($B$5:$F$5,'2_Retornos'!B85:F85)</f>
        <v>0</v>
      </c>
      <c r="K86" s="13">
        <f>'2_Retornos'!G85</f>
        <v>0</v>
      </c>
      <c r="L86" s="13">
        <f>J86-K86</f>
        <v>0</v>
      </c>
      <c r="M86" s="24">
        <f>M85*(1+J86)</f>
        <v>0</v>
      </c>
      <c r="N86" s="13">
        <f>M86/MAX($M$3:M86)-1</f>
        <v>0</v>
      </c>
      <c r="O86" s="24">
        <f>O85*(1+K86)</f>
        <v>0</v>
      </c>
    </row>
    <row r="87" spans="9:15">
      <c r="I87" s="12">
        <f>'2_Retornos'!A86</f>
        <v>0</v>
      </c>
      <c r="J87" s="13">
        <f>SUMPRODUCT($B$5:$F$5,'2_Retornos'!B86:F86)</f>
        <v>0</v>
      </c>
      <c r="K87" s="13">
        <f>'2_Retornos'!G86</f>
        <v>0</v>
      </c>
      <c r="L87" s="13">
        <f>J87-K87</f>
        <v>0</v>
      </c>
      <c r="M87" s="24">
        <f>M86*(1+J87)</f>
        <v>0</v>
      </c>
      <c r="N87" s="13">
        <f>M87/MAX($M$3:M87)-1</f>
        <v>0</v>
      </c>
      <c r="O87" s="24">
        <f>O86*(1+K87)</f>
        <v>0</v>
      </c>
    </row>
    <row r="88" spans="9:15">
      <c r="I88" s="12">
        <f>'2_Retornos'!A87</f>
        <v>0</v>
      </c>
      <c r="J88" s="13">
        <f>SUMPRODUCT($B$5:$F$5,'2_Retornos'!B87:F87)</f>
        <v>0</v>
      </c>
      <c r="K88" s="13">
        <f>'2_Retornos'!G87</f>
        <v>0</v>
      </c>
      <c r="L88" s="13">
        <f>J88-K88</f>
        <v>0</v>
      </c>
      <c r="M88" s="24">
        <f>M87*(1+J88)</f>
        <v>0</v>
      </c>
      <c r="N88" s="13">
        <f>M88/MAX($M$3:M88)-1</f>
        <v>0</v>
      </c>
      <c r="O88" s="24">
        <f>O87*(1+K88)</f>
        <v>0</v>
      </c>
    </row>
    <row r="89" spans="9:15">
      <c r="I89" s="12">
        <f>'2_Retornos'!A88</f>
        <v>0</v>
      </c>
      <c r="J89" s="13">
        <f>SUMPRODUCT($B$5:$F$5,'2_Retornos'!B88:F88)</f>
        <v>0</v>
      </c>
      <c r="K89" s="13">
        <f>'2_Retornos'!G88</f>
        <v>0</v>
      </c>
      <c r="L89" s="13">
        <f>J89-K89</f>
        <v>0</v>
      </c>
      <c r="M89" s="24">
        <f>M88*(1+J89)</f>
        <v>0</v>
      </c>
      <c r="N89" s="13">
        <f>M89/MAX($M$3:M89)-1</f>
        <v>0</v>
      </c>
      <c r="O89" s="24">
        <f>O88*(1+K89)</f>
        <v>0</v>
      </c>
    </row>
    <row r="90" spans="9:15">
      <c r="I90" s="12">
        <f>'2_Retornos'!A89</f>
        <v>0</v>
      </c>
      <c r="J90" s="13">
        <f>SUMPRODUCT($B$5:$F$5,'2_Retornos'!B89:F89)</f>
        <v>0</v>
      </c>
      <c r="K90" s="13">
        <f>'2_Retornos'!G89</f>
        <v>0</v>
      </c>
      <c r="L90" s="13">
        <f>J90-K90</f>
        <v>0</v>
      </c>
      <c r="M90" s="24">
        <f>M89*(1+J90)</f>
        <v>0</v>
      </c>
      <c r="N90" s="13">
        <f>M90/MAX($M$3:M90)-1</f>
        <v>0</v>
      </c>
      <c r="O90" s="24">
        <f>O89*(1+K90)</f>
        <v>0</v>
      </c>
    </row>
    <row r="91" spans="9:15">
      <c r="I91" s="12">
        <f>'2_Retornos'!A90</f>
        <v>0</v>
      </c>
      <c r="J91" s="13">
        <f>SUMPRODUCT($B$5:$F$5,'2_Retornos'!B90:F90)</f>
        <v>0</v>
      </c>
      <c r="K91" s="13">
        <f>'2_Retornos'!G90</f>
        <v>0</v>
      </c>
      <c r="L91" s="13">
        <f>J91-K91</f>
        <v>0</v>
      </c>
      <c r="M91" s="24">
        <f>M90*(1+J91)</f>
        <v>0</v>
      </c>
      <c r="N91" s="13">
        <f>M91/MAX($M$3:M91)-1</f>
        <v>0</v>
      </c>
      <c r="O91" s="24">
        <f>O90*(1+K91)</f>
        <v>0</v>
      </c>
    </row>
    <row r="92" spans="9:15">
      <c r="I92" s="12">
        <f>'2_Retornos'!A91</f>
        <v>0</v>
      </c>
      <c r="J92" s="13">
        <f>SUMPRODUCT($B$5:$F$5,'2_Retornos'!B91:F91)</f>
        <v>0</v>
      </c>
      <c r="K92" s="13">
        <f>'2_Retornos'!G91</f>
        <v>0</v>
      </c>
      <c r="L92" s="13">
        <f>J92-K92</f>
        <v>0</v>
      </c>
      <c r="M92" s="24">
        <f>M91*(1+J92)</f>
        <v>0</v>
      </c>
      <c r="N92" s="13">
        <f>M92/MAX($M$3:M92)-1</f>
        <v>0</v>
      </c>
      <c r="O92" s="24">
        <f>O91*(1+K92)</f>
        <v>0</v>
      </c>
    </row>
    <row r="93" spans="9:15">
      <c r="I93" s="12">
        <f>'2_Retornos'!A92</f>
        <v>0</v>
      </c>
      <c r="J93" s="13">
        <f>SUMPRODUCT($B$5:$F$5,'2_Retornos'!B92:F92)</f>
        <v>0</v>
      </c>
      <c r="K93" s="13">
        <f>'2_Retornos'!G92</f>
        <v>0</v>
      </c>
      <c r="L93" s="13">
        <f>J93-K93</f>
        <v>0</v>
      </c>
      <c r="M93" s="24">
        <f>M92*(1+J93)</f>
        <v>0</v>
      </c>
      <c r="N93" s="13">
        <f>M93/MAX($M$3:M93)-1</f>
        <v>0</v>
      </c>
      <c r="O93" s="24">
        <f>O92*(1+K93)</f>
        <v>0</v>
      </c>
    </row>
    <row r="94" spans="9:15">
      <c r="I94" s="12">
        <f>'2_Retornos'!A93</f>
        <v>0</v>
      </c>
      <c r="J94" s="13">
        <f>SUMPRODUCT($B$5:$F$5,'2_Retornos'!B93:F93)</f>
        <v>0</v>
      </c>
      <c r="K94" s="13">
        <f>'2_Retornos'!G93</f>
        <v>0</v>
      </c>
      <c r="L94" s="13">
        <f>J94-K94</f>
        <v>0</v>
      </c>
      <c r="M94" s="24">
        <f>M93*(1+J94)</f>
        <v>0</v>
      </c>
      <c r="N94" s="13">
        <f>M94/MAX($M$3:M94)-1</f>
        <v>0</v>
      </c>
      <c r="O94" s="24">
        <f>O93*(1+K94)</f>
        <v>0</v>
      </c>
    </row>
    <row r="95" spans="9:15">
      <c r="I95" s="12">
        <f>'2_Retornos'!A94</f>
        <v>0</v>
      </c>
      <c r="J95" s="13">
        <f>SUMPRODUCT($B$5:$F$5,'2_Retornos'!B94:F94)</f>
        <v>0</v>
      </c>
      <c r="K95" s="13">
        <f>'2_Retornos'!G94</f>
        <v>0</v>
      </c>
      <c r="L95" s="13">
        <f>J95-K95</f>
        <v>0</v>
      </c>
      <c r="M95" s="24">
        <f>M94*(1+J95)</f>
        <v>0</v>
      </c>
      <c r="N95" s="13">
        <f>M95/MAX($M$3:M95)-1</f>
        <v>0</v>
      </c>
      <c r="O95" s="24">
        <f>O94*(1+K95)</f>
        <v>0</v>
      </c>
    </row>
    <row r="96" spans="9:15">
      <c r="I96" s="12">
        <f>'2_Retornos'!A95</f>
        <v>0</v>
      </c>
      <c r="J96" s="13">
        <f>SUMPRODUCT($B$5:$F$5,'2_Retornos'!B95:F95)</f>
        <v>0</v>
      </c>
      <c r="K96" s="13">
        <f>'2_Retornos'!G95</f>
        <v>0</v>
      </c>
      <c r="L96" s="13">
        <f>J96-K96</f>
        <v>0</v>
      </c>
      <c r="M96" s="24">
        <f>M95*(1+J96)</f>
        <v>0</v>
      </c>
      <c r="N96" s="13">
        <f>M96/MAX($M$3:M96)-1</f>
        <v>0</v>
      </c>
      <c r="O96" s="24">
        <f>O95*(1+K96)</f>
        <v>0</v>
      </c>
    </row>
    <row r="97" spans="9:15">
      <c r="I97" s="12">
        <f>'2_Retornos'!A96</f>
        <v>0</v>
      </c>
      <c r="J97" s="13">
        <f>SUMPRODUCT($B$5:$F$5,'2_Retornos'!B96:F96)</f>
        <v>0</v>
      </c>
      <c r="K97" s="13">
        <f>'2_Retornos'!G96</f>
        <v>0</v>
      </c>
      <c r="L97" s="13">
        <f>J97-K97</f>
        <v>0</v>
      </c>
      <c r="M97" s="24">
        <f>M96*(1+J97)</f>
        <v>0</v>
      </c>
      <c r="N97" s="13">
        <f>M97/MAX($M$3:M97)-1</f>
        <v>0</v>
      </c>
      <c r="O97" s="24">
        <f>O96*(1+K97)</f>
        <v>0</v>
      </c>
    </row>
    <row r="98" spans="9:15">
      <c r="I98" s="12">
        <f>'2_Retornos'!A97</f>
        <v>0</v>
      </c>
      <c r="J98" s="13">
        <f>SUMPRODUCT($B$5:$F$5,'2_Retornos'!B97:F97)</f>
        <v>0</v>
      </c>
      <c r="K98" s="13">
        <f>'2_Retornos'!G97</f>
        <v>0</v>
      </c>
      <c r="L98" s="13">
        <f>J98-K98</f>
        <v>0</v>
      </c>
      <c r="M98" s="24">
        <f>M97*(1+J98)</f>
        <v>0</v>
      </c>
      <c r="N98" s="13">
        <f>M98/MAX($M$3:M98)-1</f>
        <v>0</v>
      </c>
      <c r="O98" s="24">
        <f>O97*(1+K98)</f>
        <v>0</v>
      </c>
    </row>
    <row r="99" spans="9:15">
      <c r="I99" s="12">
        <f>'2_Retornos'!A98</f>
        <v>0</v>
      </c>
      <c r="J99" s="13">
        <f>SUMPRODUCT($B$5:$F$5,'2_Retornos'!B98:F98)</f>
        <v>0</v>
      </c>
      <c r="K99" s="13">
        <f>'2_Retornos'!G98</f>
        <v>0</v>
      </c>
      <c r="L99" s="13">
        <f>J99-K99</f>
        <v>0</v>
      </c>
      <c r="M99" s="24">
        <f>M98*(1+J99)</f>
        <v>0</v>
      </c>
      <c r="N99" s="13">
        <f>M99/MAX($M$3:M99)-1</f>
        <v>0</v>
      </c>
      <c r="O99" s="24">
        <f>O98*(1+K99)</f>
        <v>0</v>
      </c>
    </row>
    <row r="100" spans="9:15">
      <c r="I100" s="12">
        <f>'2_Retornos'!A99</f>
        <v>0</v>
      </c>
      <c r="J100" s="13">
        <f>SUMPRODUCT($B$5:$F$5,'2_Retornos'!B99:F99)</f>
        <v>0</v>
      </c>
      <c r="K100" s="13">
        <f>'2_Retornos'!G99</f>
        <v>0</v>
      </c>
      <c r="L100" s="13">
        <f>J100-K100</f>
        <v>0</v>
      </c>
      <c r="M100" s="24">
        <f>M99*(1+J100)</f>
        <v>0</v>
      </c>
      <c r="N100" s="13">
        <f>M100/MAX($M$3:M100)-1</f>
        <v>0</v>
      </c>
      <c r="O100" s="24">
        <f>O99*(1+K100)</f>
        <v>0</v>
      </c>
    </row>
    <row r="101" spans="9:15">
      <c r="I101" s="12">
        <f>'2_Retornos'!A100</f>
        <v>0</v>
      </c>
      <c r="J101" s="13">
        <f>SUMPRODUCT($B$5:$F$5,'2_Retornos'!B100:F100)</f>
        <v>0</v>
      </c>
      <c r="K101" s="13">
        <f>'2_Retornos'!G100</f>
        <v>0</v>
      </c>
      <c r="L101" s="13">
        <f>J101-K101</f>
        <v>0</v>
      </c>
      <c r="M101" s="24">
        <f>M100*(1+J101)</f>
        <v>0</v>
      </c>
      <c r="N101" s="13">
        <f>M101/MAX($M$3:M101)-1</f>
        <v>0</v>
      </c>
      <c r="O101" s="24">
        <f>O100*(1+K101)</f>
        <v>0</v>
      </c>
    </row>
    <row r="102" spans="9:15">
      <c r="I102" s="12">
        <f>'2_Retornos'!A101</f>
        <v>0</v>
      </c>
      <c r="J102" s="13">
        <f>SUMPRODUCT($B$5:$F$5,'2_Retornos'!B101:F101)</f>
        <v>0</v>
      </c>
      <c r="K102" s="13">
        <f>'2_Retornos'!G101</f>
        <v>0</v>
      </c>
      <c r="L102" s="13">
        <f>J102-K102</f>
        <v>0</v>
      </c>
      <c r="M102" s="24">
        <f>M101*(1+J102)</f>
        <v>0</v>
      </c>
      <c r="N102" s="13">
        <f>M102/MAX($M$3:M102)-1</f>
        <v>0</v>
      </c>
      <c r="O102" s="24">
        <f>O101*(1+K102)</f>
        <v>0</v>
      </c>
    </row>
    <row r="103" spans="9:15">
      <c r="I103" s="12">
        <f>'2_Retornos'!A102</f>
        <v>0</v>
      </c>
      <c r="J103" s="13">
        <f>SUMPRODUCT($B$5:$F$5,'2_Retornos'!B102:F102)</f>
        <v>0</v>
      </c>
      <c r="K103" s="13">
        <f>'2_Retornos'!G102</f>
        <v>0</v>
      </c>
      <c r="L103" s="13">
        <f>J103-K103</f>
        <v>0</v>
      </c>
      <c r="M103" s="24">
        <f>M102*(1+J103)</f>
        <v>0</v>
      </c>
      <c r="N103" s="13">
        <f>M103/MAX($M$3:M103)-1</f>
        <v>0</v>
      </c>
      <c r="O103" s="24">
        <f>O102*(1+K103)</f>
        <v>0</v>
      </c>
    </row>
    <row r="104" spans="9:15">
      <c r="I104" s="12">
        <f>'2_Retornos'!A103</f>
        <v>0</v>
      </c>
      <c r="J104" s="13">
        <f>SUMPRODUCT($B$5:$F$5,'2_Retornos'!B103:F103)</f>
        <v>0</v>
      </c>
      <c r="K104" s="13">
        <f>'2_Retornos'!G103</f>
        <v>0</v>
      </c>
      <c r="L104" s="13">
        <f>J104-K104</f>
        <v>0</v>
      </c>
      <c r="M104" s="24">
        <f>M103*(1+J104)</f>
        <v>0</v>
      </c>
      <c r="N104" s="13">
        <f>M104/MAX($M$3:M104)-1</f>
        <v>0</v>
      </c>
      <c r="O104" s="24">
        <f>O103*(1+K104)</f>
        <v>0</v>
      </c>
    </row>
    <row r="105" spans="9:15">
      <c r="I105" s="12">
        <f>'2_Retornos'!A104</f>
        <v>0</v>
      </c>
      <c r="J105" s="13">
        <f>SUMPRODUCT($B$5:$F$5,'2_Retornos'!B104:F104)</f>
        <v>0</v>
      </c>
      <c r="K105" s="13">
        <f>'2_Retornos'!G104</f>
        <v>0</v>
      </c>
      <c r="L105" s="13">
        <f>J105-K105</f>
        <v>0</v>
      </c>
      <c r="M105" s="24">
        <f>M104*(1+J105)</f>
        <v>0</v>
      </c>
      <c r="N105" s="13">
        <f>M105/MAX($M$3:M105)-1</f>
        <v>0</v>
      </c>
      <c r="O105" s="24">
        <f>O104*(1+K105)</f>
        <v>0</v>
      </c>
    </row>
    <row r="106" spans="9:15">
      <c r="I106" s="12">
        <f>'2_Retornos'!A105</f>
        <v>0</v>
      </c>
      <c r="J106" s="13">
        <f>SUMPRODUCT($B$5:$F$5,'2_Retornos'!B105:F105)</f>
        <v>0</v>
      </c>
      <c r="K106" s="13">
        <f>'2_Retornos'!G105</f>
        <v>0</v>
      </c>
      <c r="L106" s="13">
        <f>J106-K106</f>
        <v>0</v>
      </c>
      <c r="M106" s="24">
        <f>M105*(1+J106)</f>
        <v>0</v>
      </c>
      <c r="N106" s="13">
        <f>M106/MAX($M$3:M106)-1</f>
        <v>0</v>
      </c>
      <c r="O106" s="24">
        <f>O105*(1+K106)</f>
        <v>0</v>
      </c>
    </row>
    <row r="107" spans="9:15">
      <c r="I107" s="12">
        <f>'2_Retornos'!A106</f>
        <v>0</v>
      </c>
      <c r="J107" s="13">
        <f>SUMPRODUCT($B$5:$F$5,'2_Retornos'!B106:F106)</f>
        <v>0</v>
      </c>
      <c r="K107" s="13">
        <f>'2_Retornos'!G106</f>
        <v>0</v>
      </c>
      <c r="L107" s="13">
        <f>J107-K107</f>
        <v>0</v>
      </c>
      <c r="M107" s="24">
        <f>M106*(1+J107)</f>
        <v>0</v>
      </c>
      <c r="N107" s="13">
        <f>M107/MAX($M$3:M107)-1</f>
        <v>0</v>
      </c>
      <c r="O107" s="24">
        <f>O106*(1+K107)</f>
        <v>0</v>
      </c>
    </row>
    <row r="108" spans="9:15">
      <c r="I108" s="12">
        <f>'2_Retornos'!A107</f>
        <v>0</v>
      </c>
      <c r="J108" s="13">
        <f>SUMPRODUCT($B$5:$F$5,'2_Retornos'!B107:F107)</f>
        <v>0</v>
      </c>
      <c r="K108" s="13">
        <f>'2_Retornos'!G107</f>
        <v>0</v>
      </c>
      <c r="L108" s="13">
        <f>J108-K108</f>
        <v>0</v>
      </c>
      <c r="M108" s="24">
        <f>M107*(1+J108)</f>
        <v>0</v>
      </c>
      <c r="N108" s="13">
        <f>M108/MAX($M$3:M108)-1</f>
        <v>0</v>
      </c>
      <c r="O108" s="24">
        <f>O107*(1+K108)</f>
        <v>0</v>
      </c>
    </row>
    <row r="109" spans="9:15">
      <c r="I109" s="12">
        <f>'2_Retornos'!A108</f>
        <v>0</v>
      </c>
      <c r="J109" s="13">
        <f>SUMPRODUCT($B$5:$F$5,'2_Retornos'!B108:F108)</f>
        <v>0</v>
      </c>
      <c r="K109" s="13">
        <f>'2_Retornos'!G108</f>
        <v>0</v>
      </c>
      <c r="L109" s="13">
        <f>J109-K109</f>
        <v>0</v>
      </c>
      <c r="M109" s="24">
        <f>M108*(1+J109)</f>
        <v>0</v>
      </c>
      <c r="N109" s="13">
        <f>M109/MAX($M$3:M109)-1</f>
        <v>0</v>
      </c>
      <c r="O109" s="24">
        <f>O108*(1+K109)</f>
        <v>0</v>
      </c>
    </row>
    <row r="110" spans="9:15">
      <c r="I110" s="12">
        <f>'2_Retornos'!A109</f>
        <v>0</v>
      </c>
      <c r="J110" s="13">
        <f>SUMPRODUCT($B$5:$F$5,'2_Retornos'!B109:F109)</f>
        <v>0</v>
      </c>
      <c r="K110" s="13">
        <f>'2_Retornos'!G109</f>
        <v>0</v>
      </c>
      <c r="L110" s="13">
        <f>J110-K110</f>
        <v>0</v>
      </c>
      <c r="M110" s="24">
        <f>M109*(1+J110)</f>
        <v>0</v>
      </c>
      <c r="N110" s="13">
        <f>M110/MAX($M$3:M110)-1</f>
        <v>0</v>
      </c>
      <c r="O110" s="24">
        <f>O109*(1+K110)</f>
        <v>0</v>
      </c>
    </row>
    <row r="111" spans="9:15">
      <c r="I111" s="12">
        <f>'2_Retornos'!A110</f>
        <v>0</v>
      </c>
      <c r="J111" s="13">
        <f>SUMPRODUCT($B$5:$F$5,'2_Retornos'!B110:F110)</f>
        <v>0</v>
      </c>
      <c r="K111" s="13">
        <f>'2_Retornos'!G110</f>
        <v>0</v>
      </c>
      <c r="L111" s="13">
        <f>J111-K111</f>
        <v>0</v>
      </c>
      <c r="M111" s="24">
        <f>M110*(1+J111)</f>
        <v>0</v>
      </c>
      <c r="N111" s="13">
        <f>M111/MAX($M$3:M111)-1</f>
        <v>0</v>
      </c>
      <c r="O111" s="24">
        <f>O110*(1+K111)</f>
        <v>0</v>
      </c>
    </row>
    <row r="112" spans="9:15">
      <c r="I112" s="12">
        <f>'2_Retornos'!A111</f>
        <v>0</v>
      </c>
      <c r="J112" s="13">
        <f>SUMPRODUCT($B$5:$F$5,'2_Retornos'!B111:F111)</f>
        <v>0</v>
      </c>
      <c r="K112" s="13">
        <f>'2_Retornos'!G111</f>
        <v>0</v>
      </c>
      <c r="L112" s="13">
        <f>J112-K112</f>
        <v>0</v>
      </c>
      <c r="M112" s="24">
        <f>M111*(1+J112)</f>
        <v>0</v>
      </c>
      <c r="N112" s="13">
        <f>M112/MAX($M$3:M112)-1</f>
        <v>0</v>
      </c>
      <c r="O112" s="24">
        <f>O111*(1+K112)</f>
        <v>0</v>
      </c>
    </row>
    <row r="113" spans="9:15">
      <c r="I113" s="12">
        <f>'2_Retornos'!A112</f>
        <v>0</v>
      </c>
      <c r="J113" s="13">
        <f>SUMPRODUCT($B$5:$F$5,'2_Retornos'!B112:F112)</f>
        <v>0</v>
      </c>
      <c r="K113" s="13">
        <f>'2_Retornos'!G112</f>
        <v>0</v>
      </c>
      <c r="L113" s="13">
        <f>J113-K113</f>
        <v>0</v>
      </c>
      <c r="M113" s="24">
        <f>M112*(1+J113)</f>
        <v>0</v>
      </c>
      <c r="N113" s="13">
        <f>M113/MAX($M$3:M113)-1</f>
        <v>0</v>
      </c>
      <c r="O113" s="24">
        <f>O112*(1+K113)</f>
        <v>0</v>
      </c>
    </row>
    <row r="114" spans="9:15">
      <c r="I114" s="12">
        <f>'2_Retornos'!A113</f>
        <v>0</v>
      </c>
      <c r="J114" s="13">
        <f>SUMPRODUCT($B$5:$F$5,'2_Retornos'!B113:F113)</f>
        <v>0</v>
      </c>
      <c r="K114" s="13">
        <f>'2_Retornos'!G113</f>
        <v>0</v>
      </c>
      <c r="L114" s="13">
        <f>J114-K114</f>
        <v>0</v>
      </c>
      <c r="M114" s="24">
        <f>M113*(1+J114)</f>
        <v>0</v>
      </c>
      <c r="N114" s="13">
        <f>M114/MAX($M$3:M114)-1</f>
        <v>0</v>
      </c>
      <c r="O114" s="24">
        <f>O113*(1+K114)</f>
        <v>0</v>
      </c>
    </row>
    <row r="115" spans="9:15">
      <c r="I115" s="12">
        <f>'2_Retornos'!A114</f>
        <v>0</v>
      </c>
      <c r="J115" s="13">
        <f>SUMPRODUCT($B$5:$F$5,'2_Retornos'!B114:F114)</f>
        <v>0</v>
      </c>
      <c r="K115" s="13">
        <f>'2_Retornos'!G114</f>
        <v>0</v>
      </c>
      <c r="L115" s="13">
        <f>J115-K115</f>
        <v>0</v>
      </c>
      <c r="M115" s="24">
        <f>M114*(1+J115)</f>
        <v>0</v>
      </c>
      <c r="N115" s="13">
        <f>M115/MAX($M$3:M115)-1</f>
        <v>0</v>
      </c>
      <c r="O115" s="24">
        <f>O114*(1+K115)</f>
        <v>0</v>
      </c>
    </row>
    <row r="116" spans="9:15">
      <c r="I116" s="12">
        <f>'2_Retornos'!A115</f>
        <v>0</v>
      </c>
      <c r="J116" s="13">
        <f>SUMPRODUCT($B$5:$F$5,'2_Retornos'!B115:F115)</f>
        <v>0</v>
      </c>
      <c r="K116" s="13">
        <f>'2_Retornos'!G115</f>
        <v>0</v>
      </c>
      <c r="L116" s="13">
        <f>J116-K116</f>
        <v>0</v>
      </c>
      <c r="M116" s="24">
        <f>M115*(1+J116)</f>
        <v>0</v>
      </c>
      <c r="N116" s="13">
        <f>M116/MAX($M$3:M116)-1</f>
        <v>0</v>
      </c>
      <c r="O116" s="24">
        <f>O115*(1+K116)</f>
        <v>0</v>
      </c>
    </row>
    <row r="117" spans="9:15">
      <c r="I117" s="12">
        <f>'2_Retornos'!A116</f>
        <v>0</v>
      </c>
      <c r="J117" s="13">
        <f>SUMPRODUCT($B$5:$F$5,'2_Retornos'!B116:F116)</f>
        <v>0</v>
      </c>
      <c r="K117" s="13">
        <f>'2_Retornos'!G116</f>
        <v>0</v>
      </c>
      <c r="L117" s="13">
        <f>J117-K117</f>
        <v>0</v>
      </c>
      <c r="M117" s="24">
        <f>M116*(1+J117)</f>
        <v>0</v>
      </c>
      <c r="N117" s="13">
        <f>M117/MAX($M$3:M117)-1</f>
        <v>0</v>
      </c>
      <c r="O117" s="24">
        <f>O116*(1+K117)</f>
        <v>0</v>
      </c>
    </row>
    <row r="118" spans="9:15">
      <c r="I118" s="12">
        <f>'2_Retornos'!A117</f>
        <v>0</v>
      </c>
      <c r="J118" s="13">
        <f>SUMPRODUCT($B$5:$F$5,'2_Retornos'!B117:F117)</f>
        <v>0</v>
      </c>
      <c r="K118" s="13">
        <f>'2_Retornos'!G117</f>
        <v>0</v>
      </c>
      <c r="L118" s="13">
        <f>J118-K118</f>
        <v>0</v>
      </c>
      <c r="M118" s="24">
        <f>M117*(1+J118)</f>
        <v>0</v>
      </c>
      <c r="N118" s="13">
        <f>M118/MAX($M$3:M118)-1</f>
        <v>0</v>
      </c>
      <c r="O118" s="24">
        <f>O117*(1+K118)</f>
        <v>0</v>
      </c>
    </row>
    <row r="119" spans="9:15">
      <c r="I119" s="12">
        <f>'2_Retornos'!A118</f>
        <v>0</v>
      </c>
      <c r="J119" s="13">
        <f>SUMPRODUCT($B$5:$F$5,'2_Retornos'!B118:F118)</f>
        <v>0</v>
      </c>
      <c r="K119" s="13">
        <f>'2_Retornos'!G118</f>
        <v>0</v>
      </c>
      <c r="L119" s="13">
        <f>J119-K119</f>
        <v>0</v>
      </c>
      <c r="M119" s="24">
        <f>M118*(1+J119)</f>
        <v>0</v>
      </c>
      <c r="N119" s="13">
        <f>M119/MAX($M$3:M119)-1</f>
        <v>0</v>
      </c>
      <c r="O119" s="24">
        <f>O118*(1+K119)</f>
        <v>0</v>
      </c>
    </row>
    <row r="120" spans="9:15">
      <c r="I120" s="12">
        <f>'2_Retornos'!A119</f>
        <v>0</v>
      </c>
      <c r="J120" s="13">
        <f>SUMPRODUCT($B$5:$F$5,'2_Retornos'!B119:F119)</f>
        <v>0</v>
      </c>
      <c r="K120" s="13">
        <f>'2_Retornos'!G119</f>
        <v>0</v>
      </c>
      <c r="L120" s="13">
        <f>J120-K120</f>
        <v>0</v>
      </c>
      <c r="M120" s="24">
        <f>M119*(1+J120)</f>
        <v>0</v>
      </c>
      <c r="N120" s="13">
        <f>M120/MAX($M$3:M120)-1</f>
        <v>0</v>
      </c>
      <c r="O120" s="24">
        <f>O119*(1+K120)</f>
        <v>0</v>
      </c>
    </row>
    <row r="121" spans="9:15">
      <c r="I121" s="12">
        <f>'2_Retornos'!A120</f>
        <v>0</v>
      </c>
      <c r="J121" s="13">
        <f>SUMPRODUCT($B$5:$F$5,'2_Retornos'!B120:F120)</f>
        <v>0</v>
      </c>
      <c r="K121" s="13">
        <f>'2_Retornos'!G120</f>
        <v>0</v>
      </c>
      <c r="L121" s="13">
        <f>J121-K121</f>
        <v>0</v>
      </c>
      <c r="M121" s="24">
        <f>M120*(1+J121)</f>
        <v>0</v>
      </c>
      <c r="N121" s="13">
        <f>M121/MAX($M$3:M121)-1</f>
        <v>0</v>
      </c>
      <c r="O121" s="24">
        <f>O120*(1+K121)</f>
        <v>0</v>
      </c>
    </row>
    <row r="122" spans="9:15">
      <c r="I122" s="12">
        <f>'2_Retornos'!A121</f>
        <v>0</v>
      </c>
      <c r="J122" s="13">
        <f>SUMPRODUCT($B$5:$F$5,'2_Retornos'!B121:F121)</f>
        <v>0</v>
      </c>
      <c r="K122" s="13">
        <f>'2_Retornos'!G121</f>
        <v>0</v>
      </c>
      <c r="L122" s="13">
        <f>J122-K122</f>
        <v>0</v>
      </c>
      <c r="M122" s="24">
        <f>M121*(1+J122)</f>
        <v>0</v>
      </c>
      <c r="N122" s="13">
        <f>M122/MAX($M$3:M122)-1</f>
        <v>0</v>
      </c>
      <c r="O122" s="24">
        <f>O121*(1+K122)</f>
        <v>0</v>
      </c>
    </row>
    <row r="123" spans="9:15">
      <c r="I123" s="12">
        <f>'2_Retornos'!A122</f>
        <v>0</v>
      </c>
      <c r="J123" s="13">
        <f>SUMPRODUCT($B$5:$F$5,'2_Retornos'!B122:F122)</f>
        <v>0</v>
      </c>
      <c r="K123" s="13">
        <f>'2_Retornos'!G122</f>
        <v>0</v>
      </c>
      <c r="L123" s="13">
        <f>J123-K123</f>
        <v>0</v>
      </c>
      <c r="M123" s="24">
        <f>M122*(1+J123)</f>
        <v>0</v>
      </c>
      <c r="N123" s="13">
        <f>M123/MAX($M$3:M123)-1</f>
        <v>0</v>
      </c>
      <c r="O123" s="24">
        <f>O122*(1+K123)</f>
        <v>0</v>
      </c>
    </row>
    <row r="124" spans="9:15">
      <c r="I124" s="12">
        <f>'2_Retornos'!A123</f>
        <v>0</v>
      </c>
      <c r="J124" s="13">
        <f>SUMPRODUCT($B$5:$F$5,'2_Retornos'!B123:F123)</f>
        <v>0</v>
      </c>
      <c r="K124" s="13">
        <f>'2_Retornos'!G123</f>
        <v>0</v>
      </c>
      <c r="L124" s="13">
        <f>J124-K124</f>
        <v>0</v>
      </c>
      <c r="M124" s="24">
        <f>M123*(1+J124)</f>
        <v>0</v>
      </c>
      <c r="N124" s="13">
        <f>M124/MAX($M$3:M124)-1</f>
        <v>0</v>
      </c>
      <c r="O124" s="24">
        <f>O123*(1+K124)</f>
        <v>0</v>
      </c>
    </row>
    <row r="125" spans="9:15">
      <c r="I125" s="12">
        <f>'2_Retornos'!A124</f>
        <v>0</v>
      </c>
      <c r="J125" s="13">
        <f>SUMPRODUCT($B$5:$F$5,'2_Retornos'!B124:F124)</f>
        <v>0</v>
      </c>
      <c r="K125" s="13">
        <f>'2_Retornos'!G124</f>
        <v>0</v>
      </c>
      <c r="L125" s="13">
        <f>J125-K125</f>
        <v>0</v>
      </c>
      <c r="M125" s="24">
        <f>M124*(1+J125)</f>
        <v>0</v>
      </c>
      <c r="N125" s="13">
        <f>M125/MAX($M$3:M125)-1</f>
        <v>0</v>
      </c>
      <c r="O125" s="24">
        <f>O124*(1+K125)</f>
        <v>0</v>
      </c>
    </row>
    <row r="126" spans="9:15">
      <c r="I126" s="12">
        <f>'2_Retornos'!A125</f>
        <v>0</v>
      </c>
      <c r="J126" s="13">
        <f>SUMPRODUCT($B$5:$F$5,'2_Retornos'!B125:F125)</f>
        <v>0</v>
      </c>
      <c r="K126" s="13">
        <f>'2_Retornos'!G125</f>
        <v>0</v>
      </c>
      <c r="L126" s="13">
        <f>J126-K126</f>
        <v>0</v>
      </c>
      <c r="M126" s="24">
        <f>M125*(1+J126)</f>
        <v>0</v>
      </c>
      <c r="N126" s="13">
        <f>M126/MAX($M$3:M126)-1</f>
        <v>0</v>
      </c>
      <c r="O126" s="24">
        <f>O125*(1+K126)</f>
        <v>0</v>
      </c>
    </row>
    <row r="127" spans="9:15">
      <c r="I127" s="12">
        <f>'2_Retornos'!A126</f>
        <v>0</v>
      </c>
      <c r="J127" s="13">
        <f>SUMPRODUCT($B$5:$F$5,'2_Retornos'!B126:F126)</f>
        <v>0</v>
      </c>
      <c r="K127" s="13">
        <f>'2_Retornos'!G126</f>
        <v>0</v>
      </c>
      <c r="L127" s="13">
        <f>J127-K127</f>
        <v>0</v>
      </c>
      <c r="M127" s="24">
        <f>M126*(1+J127)</f>
        <v>0</v>
      </c>
      <c r="N127" s="13">
        <f>M127/MAX($M$3:M127)-1</f>
        <v>0</v>
      </c>
      <c r="O127" s="24">
        <f>O126*(1+K127)</f>
        <v>0</v>
      </c>
    </row>
    <row r="128" spans="9:15">
      <c r="I128" s="12">
        <f>'2_Retornos'!A127</f>
        <v>0</v>
      </c>
      <c r="J128" s="13">
        <f>SUMPRODUCT($B$5:$F$5,'2_Retornos'!B127:F127)</f>
        <v>0</v>
      </c>
      <c r="K128" s="13">
        <f>'2_Retornos'!G127</f>
        <v>0</v>
      </c>
      <c r="L128" s="13">
        <f>J128-K128</f>
        <v>0</v>
      </c>
      <c r="M128" s="24">
        <f>M127*(1+J128)</f>
        <v>0</v>
      </c>
      <c r="N128" s="13">
        <f>M128/MAX($M$3:M128)-1</f>
        <v>0</v>
      </c>
      <c r="O128" s="24">
        <f>O127*(1+K128)</f>
        <v>0</v>
      </c>
    </row>
    <row r="129" spans="9:15">
      <c r="I129" s="12">
        <f>'2_Retornos'!A128</f>
        <v>0</v>
      </c>
      <c r="J129" s="13">
        <f>SUMPRODUCT($B$5:$F$5,'2_Retornos'!B128:F128)</f>
        <v>0</v>
      </c>
      <c r="K129" s="13">
        <f>'2_Retornos'!G128</f>
        <v>0</v>
      </c>
      <c r="L129" s="13">
        <f>J129-K129</f>
        <v>0</v>
      </c>
      <c r="M129" s="24">
        <f>M128*(1+J129)</f>
        <v>0</v>
      </c>
      <c r="N129" s="13">
        <f>M129/MAX($M$3:M129)-1</f>
        <v>0</v>
      </c>
      <c r="O129" s="24">
        <f>O128*(1+K129)</f>
        <v>0</v>
      </c>
    </row>
    <row r="130" spans="9:15">
      <c r="I130" s="12">
        <f>'2_Retornos'!A129</f>
        <v>0</v>
      </c>
      <c r="J130" s="13">
        <f>SUMPRODUCT($B$5:$F$5,'2_Retornos'!B129:F129)</f>
        <v>0</v>
      </c>
      <c r="K130" s="13">
        <f>'2_Retornos'!G129</f>
        <v>0</v>
      </c>
      <c r="L130" s="13">
        <f>J130-K130</f>
        <v>0</v>
      </c>
      <c r="M130" s="24">
        <f>M129*(1+J130)</f>
        <v>0</v>
      </c>
      <c r="N130" s="13">
        <f>M130/MAX($M$3:M130)-1</f>
        <v>0</v>
      </c>
      <c r="O130" s="24">
        <f>O129*(1+K130)</f>
        <v>0</v>
      </c>
    </row>
    <row r="131" spans="9:15">
      <c r="I131" s="12">
        <f>'2_Retornos'!A130</f>
        <v>0</v>
      </c>
      <c r="J131" s="13">
        <f>SUMPRODUCT($B$5:$F$5,'2_Retornos'!B130:F130)</f>
        <v>0</v>
      </c>
      <c r="K131" s="13">
        <f>'2_Retornos'!G130</f>
        <v>0</v>
      </c>
      <c r="L131" s="13">
        <f>J131-K131</f>
        <v>0</v>
      </c>
      <c r="M131" s="24">
        <f>M130*(1+J131)</f>
        <v>0</v>
      </c>
      <c r="N131" s="13">
        <f>M131/MAX($M$3:M131)-1</f>
        <v>0</v>
      </c>
      <c r="O131" s="24">
        <f>O130*(1+K131)</f>
        <v>0</v>
      </c>
    </row>
    <row r="132" spans="9:15">
      <c r="I132" s="12">
        <f>'2_Retornos'!A131</f>
        <v>0</v>
      </c>
      <c r="J132" s="13">
        <f>SUMPRODUCT($B$5:$F$5,'2_Retornos'!B131:F131)</f>
        <v>0</v>
      </c>
      <c r="K132" s="13">
        <f>'2_Retornos'!G131</f>
        <v>0</v>
      </c>
      <c r="L132" s="13">
        <f>J132-K132</f>
        <v>0</v>
      </c>
      <c r="M132" s="24">
        <f>M131*(1+J132)</f>
        <v>0</v>
      </c>
      <c r="N132" s="13">
        <f>M132/MAX($M$3:M132)-1</f>
        <v>0</v>
      </c>
      <c r="O132" s="24">
        <f>O131*(1+K132)</f>
        <v>0</v>
      </c>
    </row>
    <row r="133" spans="9:15">
      <c r="I133" s="12">
        <f>'2_Retornos'!A132</f>
        <v>0</v>
      </c>
      <c r="J133" s="13">
        <f>SUMPRODUCT($B$5:$F$5,'2_Retornos'!B132:F132)</f>
        <v>0</v>
      </c>
      <c r="K133" s="13">
        <f>'2_Retornos'!G132</f>
        <v>0</v>
      </c>
      <c r="L133" s="13">
        <f>J133-K133</f>
        <v>0</v>
      </c>
      <c r="M133" s="24">
        <f>M132*(1+J133)</f>
        <v>0</v>
      </c>
      <c r="N133" s="13">
        <f>M133/MAX($M$3:M133)-1</f>
        <v>0</v>
      </c>
      <c r="O133" s="24">
        <f>O132*(1+K133)</f>
        <v>0</v>
      </c>
    </row>
    <row r="134" spans="9:15">
      <c r="I134" s="12">
        <f>'2_Retornos'!A133</f>
        <v>0</v>
      </c>
      <c r="J134" s="13">
        <f>SUMPRODUCT($B$5:$F$5,'2_Retornos'!B133:F133)</f>
        <v>0</v>
      </c>
      <c r="K134" s="13">
        <f>'2_Retornos'!G133</f>
        <v>0</v>
      </c>
      <c r="L134" s="13">
        <f>J134-K134</f>
        <v>0</v>
      </c>
      <c r="M134" s="24">
        <f>M133*(1+J134)</f>
        <v>0</v>
      </c>
      <c r="N134" s="13">
        <f>M134/MAX($M$3:M134)-1</f>
        <v>0</v>
      </c>
      <c r="O134" s="24">
        <f>O133*(1+K134)</f>
        <v>0</v>
      </c>
    </row>
    <row r="135" spans="9:15">
      <c r="I135" s="12">
        <f>'2_Retornos'!A134</f>
        <v>0</v>
      </c>
      <c r="J135" s="13">
        <f>SUMPRODUCT($B$5:$F$5,'2_Retornos'!B134:F134)</f>
        <v>0</v>
      </c>
      <c r="K135" s="13">
        <f>'2_Retornos'!G134</f>
        <v>0</v>
      </c>
      <c r="L135" s="13">
        <f>J135-K135</f>
        <v>0</v>
      </c>
      <c r="M135" s="24">
        <f>M134*(1+J135)</f>
        <v>0</v>
      </c>
      <c r="N135" s="13">
        <f>M135/MAX($M$3:M135)-1</f>
        <v>0</v>
      </c>
      <c r="O135" s="24">
        <f>O134*(1+K135)</f>
        <v>0</v>
      </c>
    </row>
    <row r="136" spans="9:15">
      <c r="I136" s="12">
        <f>'2_Retornos'!A135</f>
        <v>0</v>
      </c>
      <c r="J136" s="13">
        <f>SUMPRODUCT($B$5:$F$5,'2_Retornos'!B135:F135)</f>
        <v>0</v>
      </c>
      <c r="K136" s="13">
        <f>'2_Retornos'!G135</f>
        <v>0</v>
      </c>
      <c r="L136" s="13">
        <f>J136-K136</f>
        <v>0</v>
      </c>
      <c r="M136" s="24">
        <f>M135*(1+J136)</f>
        <v>0</v>
      </c>
      <c r="N136" s="13">
        <f>M136/MAX($M$3:M136)-1</f>
        <v>0</v>
      </c>
      <c r="O136" s="24">
        <f>O135*(1+K136)</f>
        <v>0</v>
      </c>
    </row>
    <row r="137" spans="9:15">
      <c r="I137" s="12">
        <f>'2_Retornos'!A136</f>
        <v>0</v>
      </c>
      <c r="J137" s="13">
        <f>SUMPRODUCT($B$5:$F$5,'2_Retornos'!B136:F136)</f>
        <v>0</v>
      </c>
      <c r="K137" s="13">
        <f>'2_Retornos'!G136</f>
        <v>0</v>
      </c>
      <c r="L137" s="13">
        <f>J137-K137</f>
        <v>0</v>
      </c>
      <c r="M137" s="24">
        <f>M136*(1+J137)</f>
        <v>0</v>
      </c>
      <c r="N137" s="13">
        <f>M137/MAX($M$3:M137)-1</f>
        <v>0</v>
      </c>
      <c r="O137" s="24">
        <f>O136*(1+K137)</f>
        <v>0</v>
      </c>
    </row>
    <row r="138" spans="9:15">
      <c r="I138" s="12">
        <f>'2_Retornos'!A137</f>
        <v>0</v>
      </c>
      <c r="J138" s="13">
        <f>SUMPRODUCT($B$5:$F$5,'2_Retornos'!B137:F137)</f>
        <v>0</v>
      </c>
      <c r="K138" s="13">
        <f>'2_Retornos'!G137</f>
        <v>0</v>
      </c>
      <c r="L138" s="13">
        <f>J138-K138</f>
        <v>0</v>
      </c>
      <c r="M138" s="24">
        <f>M137*(1+J138)</f>
        <v>0</v>
      </c>
      <c r="N138" s="13">
        <f>M138/MAX($M$3:M138)-1</f>
        <v>0</v>
      </c>
      <c r="O138" s="24">
        <f>O137*(1+K138)</f>
        <v>0</v>
      </c>
    </row>
    <row r="139" spans="9:15">
      <c r="I139" s="12">
        <f>'2_Retornos'!A138</f>
        <v>0</v>
      </c>
      <c r="J139" s="13">
        <f>SUMPRODUCT($B$5:$F$5,'2_Retornos'!B138:F138)</f>
        <v>0</v>
      </c>
      <c r="K139" s="13">
        <f>'2_Retornos'!G138</f>
        <v>0</v>
      </c>
      <c r="L139" s="13">
        <f>J139-K139</f>
        <v>0</v>
      </c>
      <c r="M139" s="24">
        <f>M138*(1+J139)</f>
        <v>0</v>
      </c>
      <c r="N139" s="13">
        <f>M139/MAX($M$3:M139)-1</f>
        <v>0</v>
      </c>
      <c r="O139" s="24">
        <f>O138*(1+K139)</f>
        <v>0</v>
      </c>
    </row>
    <row r="140" spans="9:15">
      <c r="I140" s="12">
        <f>'2_Retornos'!A139</f>
        <v>0</v>
      </c>
      <c r="J140" s="13">
        <f>SUMPRODUCT($B$5:$F$5,'2_Retornos'!B139:F139)</f>
        <v>0</v>
      </c>
      <c r="K140" s="13">
        <f>'2_Retornos'!G139</f>
        <v>0</v>
      </c>
      <c r="L140" s="13">
        <f>J140-K140</f>
        <v>0</v>
      </c>
      <c r="M140" s="24">
        <f>M139*(1+J140)</f>
        <v>0</v>
      </c>
      <c r="N140" s="13">
        <f>M140/MAX($M$3:M140)-1</f>
        <v>0</v>
      </c>
      <c r="O140" s="24">
        <f>O139*(1+K140)</f>
        <v>0</v>
      </c>
    </row>
    <row r="141" spans="9:15">
      <c r="I141" s="12">
        <f>'2_Retornos'!A140</f>
        <v>0</v>
      </c>
      <c r="J141" s="13">
        <f>SUMPRODUCT($B$5:$F$5,'2_Retornos'!B140:F140)</f>
        <v>0</v>
      </c>
      <c r="K141" s="13">
        <f>'2_Retornos'!G140</f>
        <v>0</v>
      </c>
      <c r="L141" s="13">
        <f>J141-K141</f>
        <v>0</v>
      </c>
      <c r="M141" s="24">
        <f>M140*(1+J141)</f>
        <v>0</v>
      </c>
      <c r="N141" s="13">
        <f>M141/MAX($M$3:M141)-1</f>
        <v>0</v>
      </c>
      <c r="O141" s="24">
        <f>O140*(1+K141)</f>
        <v>0</v>
      </c>
    </row>
    <row r="142" spans="9:15">
      <c r="I142" s="12">
        <f>'2_Retornos'!A141</f>
        <v>0</v>
      </c>
      <c r="J142" s="13">
        <f>SUMPRODUCT($B$5:$F$5,'2_Retornos'!B141:F141)</f>
        <v>0</v>
      </c>
      <c r="K142" s="13">
        <f>'2_Retornos'!G141</f>
        <v>0</v>
      </c>
      <c r="L142" s="13">
        <f>J142-K142</f>
        <v>0</v>
      </c>
      <c r="M142" s="24">
        <f>M141*(1+J142)</f>
        <v>0</v>
      </c>
      <c r="N142" s="13">
        <f>M142/MAX($M$3:M142)-1</f>
        <v>0</v>
      </c>
      <c r="O142" s="24">
        <f>O141*(1+K142)</f>
        <v>0</v>
      </c>
    </row>
    <row r="143" spans="9:15">
      <c r="I143" s="12">
        <f>'2_Retornos'!A142</f>
        <v>0</v>
      </c>
      <c r="J143" s="13">
        <f>SUMPRODUCT($B$5:$F$5,'2_Retornos'!B142:F142)</f>
        <v>0</v>
      </c>
      <c r="K143" s="13">
        <f>'2_Retornos'!G142</f>
        <v>0</v>
      </c>
      <c r="L143" s="13">
        <f>J143-K143</f>
        <v>0</v>
      </c>
      <c r="M143" s="24">
        <f>M142*(1+J143)</f>
        <v>0</v>
      </c>
      <c r="N143" s="13">
        <f>M143/MAX($M$3:M143)-1</f>
        <v>0</v>
      </c>
      <c r="O143" s="24">
        <f>O142*(1+K143)</f>
        <v>0</v>
      </c>
    </row>
    <row r="144" spans="9:15">
      <c r="I144" s="12">
        <f>'2_Retornos'!A143</f>
        <v>0</v>
      </c>
      <c r="J144" s="13">
        <f>SUMPRODUCT($B$5:$F$5,'2_Retornos'!B143:F143)</f>
        <v>0</v>
      </c>
      <c r="K144" s="13">
        <f>'2_Retornos'!G143</f>
        <v>0</v>
      </c>
      <c r="L144" s="13">
        <f>J144-K144</f>
        <v>0</v>
      </c>
      <c r="M144" s="24">
        <f>M143*(1+J144)</f>
        <v>0</v>
      </c>
      <c r="N144" s="13">
        <f>M144/MAX($M$3:M144)-1</f>
        <v>0</v>
      </c>
      <c r="O144" s="24">
        <f>O143*(1+K144)</f>
        <v>0</v>
      </c>
    </row>
    <row r="145" spans="9:15">
      <c r="I145" s="12">
        <f>'2_Retornos'!A144</f>
        <v>0</v>
      </c>
      <c r="J145" s="13">
        <f>SUMPRODUCT($B$5:$F$5,'2_Retornos'!B144:F144)</f>
        <v>0</v>
      </c>
      <c r="K145" s="13">
        <f>'2_Retornos'!G144</f>
        <v>0</v>
      </c>
      <c r="L145" s="13">
        <f>J145-K145</f>
        <v>0</v>
      </c>
      <c r="M145" s="24">
        <f>M144*(1+J145)</f>
        <v>0</v>
      </c>
      <c r="N145" s="13">
        <f>M145/MAX($M$3:M145)-1</f>
        <v>0</v>
      </c>
      <c r="O145" s="24">
        <f>O144*(1+K145)</f>
        <v>0</v>
      </c>
    </row>
    <row r="146" spans="9:15">
      <c r="I146" s="12">
        <f>'2_Retornos'!A145</f>
        <v>0</v>
      </c>
      <c r="J146" s="13">
        <f>SUMPRODUCT($B$5:$F$5,'2_Retornos'!B145:F145)</f>
        <v>0</v>
      </c>
      <c r="K146" s="13">
        <f>'2_Retornos'!G145</f>
        <v>0</v>
      </c>
      <c r="L146" s="13">
        <f>J146-K146</f>
        <v>0</v>
      </c>
      <c r="M146" s="24">
        <f>M145*(1+J146)</f>
        <v>0</v>
      </c>
      <c r="N146" s="13">
        <f>M146/MAX($M$3:M146)-1</f>
        <v>0</v>
      </c>
      <c r="O146" s="24">
        <f>O145*(1+K146)</f>
        <v>0</v>
      </c>
    </row>
    <row r="147" spans="9:15">
      <c r="I147" s="12">
        <f>'2_Retornos'!A146</f>
        <v>0</v>
      </c>
      <c r="J147" s="13">
        <f>SUMPRODUCT($B$5:$F$5,'2_Retornos'!B146:F146)</f>
        <v>0</v>
      </c>
      <c r="K147" s="13">
        <f>'2_Retornos'!G146</f>
        <v>0</v>
      </c>
      <c r="L147" s="13">
        <f>J147-K147</f>
        <v>0</v>
      </c>
      <c r="M147" s="24">
        <f>M146*(1+J147)</f>
        <v>0</v>
      </c>
      <c r="N147" s="13">
        <f>M147/MAX($M$3:M147)-1</f>
        <v>0</v>
      </c>
      <c r="O147" s="24">
        <f>O146*(1+K147)</f>
        <v>0</v>
      </c>
    </row>
    <row r="148" spans="9:15">
      <c r="I148" s="12">
        <f>'2_Retornos'!A147</f>
        <v>0</v>
      </c>
      <c r="J148" s="13">
        <f>SUMPRODUCT($B$5:$F$5,'2_Retornos'!B147:F147)</f>
        <v>0</v>
      </c>
      <c r="K148" s="13">
        <f>'2_Retornos'!G147</f>
        <v>0</v>
      </c>
      <c r="L148" s="13">
        <f>J148-K148</f>
        <v>0</v>
      </c>
      <c r="M148" s="24">
        <f>M147*(1+J148)</f>
        <v>0</v>
      </c>
      <c r="N148" s="13">
        <f>M148/MAX($M$3:M148)-1</f>
        <v>0</v>
      </c>
      <c r="O148" s="24">
        <f>O147*(1+K148)</f>
        <v>0</v>
      </c>
    </row>
    <row r="149" spans="9:15">
      <c r="I149" s="12">
        <f>'2_Retornos'!A148</f>
        <v>0</v>
      </c>
      <c r="J149" s="13">
        <f>SUMPRODUCT($B$5:$F$5,'2_Retornos'!B148:F148)</f>
        <v>0</v>
      </c>
      <c r="K149" s="13">
        <f>'2_Retornos'!G148</f>
        <v>0</v>
      </c>
      <c r="L149" s="13">
        <f>J149-K149</f>
        <v>0</v>
      </c>
      <c r="M149" s="24">
        <f>M148*(1+J149)</f>
        <v>0</v>
      </c>
      <c r="N149" s="13">
        <f>M149/MAX($M$3:M149)-1</f>
        <v>0</v>
      </c>
      <c r="O149" s="24">
        <f>O148*(1+K149)</f>
        <v>0</v>
      </c>
    </row>
    <row r="150" spans="9:15">
      <c r="I150" s="12">
        <f>'2_Retornos'!A149</f>
        <v>0</v>
      </c>
      <c r="J150" s="13">
        <f>SUMPRODUCT($B$5:$F$5,'2_Retornos'!B149:F149)</f>
        <v>0</v>
      </c>
      <c r="K150" s="13">
        <f>'2_Retornos'!G149</f>
        <v>0</v>
      </c>
      <c r="L150" s="13">
        <f>J150-K150</f>
        <v>0</v>
      </c>
      <c r="M150" s="24">
        <f>M149*(1+J150)</f>
        <v>0</v>
      </c>
      <c r="N150" s="13">
        <f>M150/MAX($M$3:M150)-1</f>
        <v>0</v>
      </c>
      <c r="O150" s="24">
        <f>O149*(1+K150)</f>
        <v>0</v>
      </c>
    </row>
    <row r="151" spans="9:15">
      <c r="I151" s="12">
        <f>'2_Retornos'!A150</f>
        <v>0</v>
      </c>
      <c r="J151" s="13">
        <f>SUMPRODUCT($B$5:$F$5,'2_Retornos'!B150:F150)</f>
        <v>0</v>
      </c>
      <c r="K151" s="13">
        <f>'2_Retornos'!G150</f>
        <v>0</v>
      </c>
      <c r="L151" s="13">
        <f>J151-K151</f>
        <v>0</v>
      </c>
      <c r="M151" s="24">
        <f>M150*(1+J151)</f>
        <v>0</v>
      </c>
      <c r="N151" s="13">
        <f>M151/MAX($M$3:M151)-1</f>
        <v>0</v>
      </c>
      <c r="O151" s="24">
        <f>O150*(1+K151)</f>
        <v>0</v>
      </c>
    </row>
    <row r="152" spans="9:15">
      <c r="I152" s="12">
        <f>'2_Retornos'!A151</f>
        <v>0</v>
      </c>
      <c r="J152" s="13">
        <f>SUMPRODUCT($B$5:$F$5,'2_Retornos'!B151:F151)</f>
        <v>0</v>
      </c>
      <c r="K152" s="13">
        <f>'2_Retornos'!G151</f>
        <v>0</v>
      </c>
      <c r="L152" s="13">
        <f>J152-K152</f>
        <v>0</v>
      </c>
      <c r="M152" s="24">
        <f>M151*(1+J152)</f>
        <v>0</v>
      </c>
      <c r="N152" s="13">
        <f>M152/MAX($M$3:M152)-1</f>
        <v>0</v>
      </c>
      <c r="O152" s="24">
        <f>O151*(1+K152)</f>
        <v>0</v>
      </c>
    </row>
    <row r="153" spans="9:15">
      <c r="I153" s="12">
        <f>'2_Retornos'!A152</f>
        <v>0</v>
      </c>
      <c r="J153" s="13">
        <f>SUMPRODUCT($B$5:$F$5,'2_Retornos'!B152:F152)</f>
        <v>0</v>
      </c>
      <c r="K153" s="13">
        <f>'2_Retornos'!G152</f>
        <v>0</v>
      </c>
      <c r="L153" s="13">
        <f>J153-K153</f>
        <v>0</v>
      </c>
      <c r="M153" s="24">
        <f>M152*(1+J153)</f>
        <v>0</v>
      </c>
      <c r="N153" s="13">
        <f>M153/MAX($M$3:M153)-1</f>
        <v>0</v>
      </c>
      <c r="O153" s="24">
        <f>O152*(1+K153)</f>
        <v>0</v>
      </c>
    </row>
    <row r="154" spans="9:15">
      <c r="I154" s="12">
        <f>'2_Retornos'!A153</f>
        <v>0</v>
      </c>
      <c r="J154" s="13">
        <f>SUMPRODUCT($B$5:$F$5,'2_Retornos'!B153:F153)</f>
        <v>0</v>
      </c>
      <c r="K154" s="13">
        <f>'2_Retornos'!G153</f>
        <v>0</v>
      </c>
      <c r="L154" s="13">
        <f>J154-K154</f>
        <v>0</v>
      </c>
      <c r="M154" s="24">
        <f>M153*(1+J154)</f>
        <v>0</v>
      </c>
      <c r="N154" s="13">
        <f>M154/MAX($M$3:M154)-1</f>
        <v>0</v>
      </c>
      <c r="O154" s="24">
        <f>O153*(1+K154)</f>
        <v>0</v>
      </c>
    </row>
    <row r="155" spans="9:15">
      <c r="I155" s="12">
        <f>'2_Retornos'!A154</f>
        <v>0</v>
      </c>
      <c r="J155" s="13">
        <f>SUMPRODUCT($B$5:$F$5,'2_Retornos'!B154:F154)</f>
        <v>0</v>
      </c>
      <c r="K155" s="13">
        <f>'2_Retornos'!G154</f>
        <v>0</v>
      </c>
      <c r="L155" s="13">
        <f>J155-K155</f>
        <v>0</v>
      </c>
      <c r="M155" s="24">
        <f>M154*(1+J155)</f>
        <v>0</v>
      </c>
      <c r="N155" s="13">
        <f>M155/MAX($M$3:M155)-1</f>
        <v>0</v>
      </c>
      <c r="O155" s="24">
        <f>O154*(1+K155)</f>
        <v>0</v>
      </c>
    </row>
    <row r="156" spans="9:15">
      <c r="I156" s="12">
        <f>'2_Retornos'!A155</f>
        <v>0</v>
      </c>
      <c r="J156" s="13">
        <f>SUMPRODUCT($B$5:$F$5,'2_Retornos'!B155:F155)</f>
        <v>0</v>
      </c>
      <c r="K156" s="13">
        <f>'2_Retornos'!G155</f>
        <v>0</v>
      </c>
      <c r="L156" s="13">
        <f>J156-K156</f>
        <v>0</v>
      </c>
      <c r="M156" s="24">
        <f>M155*(1+J156)</f>
        <v>0</v>
      </c>
      <c r="N156" s="13">
        <f>M156/MAX($M$3:M156)-1</f>
        <v>0</v>
      </c>
      <c r="O156" s="24">
        <f>O155*(1+K156)</f>
        <v>0</v>
      </c>
    </row>
    <row r="157" spans="9:15">
      <c r="I157" s="12">
        <f>'2_Retornos'!A156</f>
        <v>0</v>
      </c>
      <c r="J157" s="13">
        <f>SUMPRODUCT($B$5:$F$5,'2_Retornos'!B156:F156)</f>
        <v>0</v>
      </c>
      <c r="K157" s="13">
        <f>'2_Retornos'!G156</f>
        <v>0</v>
      </c>
      <c r="L157" s="13">
        <f>J157-K157</f>
        <v>0</v>
      </c>
      <c r="M157" s="24">
        <f>M156*(1+J157)</f>
        <v>0</v>
      </c>
      <c r="N157" s="13">
        <f>M157/MAX($M$3:M157)-1</f>
        <v>0</v>
      </c>
      <c r="O157" s="24">
        <f>O156*(1+K157)</f>
        <v>0</v>
      </c>
    </row>
    <row r="158" spans="9:15">
      <c r="I158" s="12">
        <f>'2_Retornos'!A157</f>
        <v>0</v>
      </c>
      <c r="J158" s="13">
        <f>SUMPRODUCT($B$5:$F$5,'2_Retornos'!B157:F157)</f>
        <v>0</v>
      </c>
      <c r="K158" s="13">
        <f>'2_Retornos'!G157</f>
        <v>0</v>
      </c>
      <c r="L158" s="13">
        <f>J158-K158</f>
        <v>0</v>
      </c>
      <c r="M158" s="24">
        <f>M157*(1+J158)</f>
        <v>0</v>
      </c>
      <c r="N158" s="13">
        <f>M158/MAX($M$3:M158)-1</f>
        <v>0</v>
      </c>
      <c r="O158" s="24">
        <f>O157*(1+K158)</f>
        <v>0</v>
      </c>
    </row>
    <row r="159" spans="9:15">
      <c r="I159" s="12">
        <f>'2_Retornos'!A158</f>
        <v>0</v>
      </c>
      <c r="J159" s="13">
        <f>SUMPRODUCT($B$5:$F$5,'2_Retornos'!B158:F158)</f>
        <v>0</v>
      </c>
      <c r="K159" s="13">
        <f>'2_Retornos'!G158</f>
        <v>0</v>
      </c>
      <c r="L159" s="13">
        <f>J159-K159</f>
        <v>0</v>
      </c>
      <c r="M159" s="24">
        <f>M158*(1+J159)</f>
        <v>0</v>
      </c>
      <c r="N159" s="13">
        <f>M159/MAX($M$3:M159)-1</f>
        <v>0</v>
      </c>
      <c r="O159" s="24">
        <f>O158*(1+K159)</f>
        <v>0</v>
      </c>
    </row>
    <row r="160" spans="9:15">
      <c r="I160" s="12">
        <f>'2_Retornos'!A159</f>
        <v>0</v>
      </c>
      <c r="J160" s="13">
        <f>SUMPRODUCT($B$5:$F$5,'2_Retornos'!B159:F159)</f>
        <v>0</v>
      </c>
      <c r="K160" s="13">
        <f>'2_Retornos'!G159</f>
        <v>0</v>
      </c>
      <c r="L160" s="13">
        <f>J160-K160</f>
        <v>0</v>
      </c>
      <c r="M160" s="24">
        <f>M159*(1+J160)</f>
        <v>0</v>
      </c>
      <c r="N160" s="13">
        <f>M160/MAX($M$3:M160)-1</f>
        <v>0</v>
      </c>
      <c r="O160" s="24">
        <f>O159*(1+K160)</f>
        <v>0</v>
      </c>
    </row>
    <row r="161" spans="9:15">
      <c r="I161" s="12">
        <f>'2_Retornos'!A160</f>
        <v>0</v>
      </c>
      <c r="J161" s="13">
        <f>SUMPRODUCT($B$5:$F$5,'2_Retornos'!B160:F160)</f>
        <v>0</v>
      </c>
      <c r="K161" s="13">
        <f>'2_Retornos'!G160</f>
        <v>0</v>
      </c>
      <c r="L161" s="13">
        <f>J161-K161</f>
        <v>0</v>
      </c>
      <c r="M161" s="24">
        <f>M160*(1+J161)</f>
        <v>0</v>
      </c>
      <c r="N161" s="13">
        <f>M161/MAX($M$3:M161)-1</f>
        <v>0</v>
      </c>
      <c r="O161" s="24">
        <f>O160*(1+K161)</f>
        <v>0</v>
      </c>
    </row>
    <row r="162" spans="9:15">
      <c r="I162" s="12">
        <f>'2_Retornos'!A161</f>
        <v>0</v>
      </c>
      <c r="J162" s="13">
        <f>SUMPRODUCT($B$5:$F$5,'2_Retornos'!B161:F161)</f>
        <v>0</v>
      </c>
      <c r="K162" s="13">
        <f>'2_Retornos'!G161</f>
        <v>0</v>
      </c>
      <c r="L162" s="13">
        <f>J162-K162</f>
        <v>0</v>
      </c>
      <c r="M162" s="24">
        <f>M161*(1+J162)</f>
        <v>0</v>
      </c>
      <c r="N162" s="13">
        <f>M162/MAX($M$3:M162)-1</f>
        <v>0</v>
      </c>
      <c r="O162" s="24">
        <f>O161*(1+K162)</f>
        <v>0</v>
      </c>
    </row>
    <row r="163" spans="9:15">
      <c r="I163" s="12">
        <f>'2_Retornos'!A162</f>
        <v>0</v>
      </c>
      <c r="J163" s="13">
        <f>SUMPRODUCT($B$5:$F$5,'2_Retornos'!B162:F162)</f>
        <v>0</v>
      </c>
      <c r="K163" s="13">
        <f>'2_Retornos'!G162</f>
        <v>0</v>
      </c>
      <c r="L163" s="13">
        <f>J163-K163</f>
        <v>0</v>
      </c>
      <c r="M163" s="24">
        <f>M162*(1+J163)</f>
        <v>0</v>
      </c>
      <c r="N163" s="13">
        <f>M163/MAX($M$3:M163)-1</f>
        <v>0</v>
      </c>
      <c r="O163" s="24">
        <f>O162*(1+K163)</f>
        <v>0</v>
      </c>
    </row>
    <row r="164" spans="9:15">
      <c r="I164" s="12">
        <f>'2_Retornos'!A163</f>
        <v>0</v>
      </c>
      <c r="J164" s="13">
        <f>SUMPRODUCT($B$5:$F$5,'2_Retornos'!B163:F163)</f>
        <v>0</v>
      </c>
      <c r="K164" s="13">
        <f>'2_Retornos'!G163</f>
        <v>0</v>
      </c>
      <c r="L164" s="13">
        <f>J164-K164</f>
        <v>0</v>
      </c>
      <c r="M164" s="24">
        <f>M163*(1+J164)</f>
        <v>0</v>
      </c>
      <c r="N164" s="13">
        <f>M164/MAX($M$3:M164)-1</f>
        <v>0</v>
      </c>
      <c r="O164" s="24">
        <f>O163*(1+K164)</f>
        <v>0</v>
      </c>
    </row>
    <row r="165" spans="9:15">
      <c r="I165" s="12">
        <f>'2_Retornos'!A164</f>
        <v>0</v>
      </c>
      <c r="J165" s="13">
        <f>SUMPRODUCT($B$5:$F$5,'2_Retornos'!B164:F164)</f>
        <v>0</v>
      </c>
      <c r="K165" s="13">
        <f>'2_Retornos'!G164</f>
        <v>0</v>
      </c>
      <c r="L165" s="13">
        <f>J165-K165</f>
        <v>0</v>
      </c>
      <c r="M165" s="24">
        <f>M164*(1+J165)</f>
        <v>0</v>
      </c>
      <c r="N165" s="13">
        <f>M165/MAX($M$3:M165)-1</f>
        <v>0</v>
      </c>
      <c r="O165" s="24">
        <f>O164*(1+K165)</f>
        <v>0</v>
      </c>
    </row>
    <row r="166" spans="9:15">
      <c r="I166" s="12">
        <f>'2_Retornos'!A165</f>
        <v>0</v>
      </c>
      <c r="J166" s="13">
        <f>SUMPRODUCT($B$5:$F$5,'2_Retornos'!B165:F165)</f>
        <v>0</v>
      </c>
      <c r="K166" s="13">
        <f>'2_Retornos'!G165</f>
        <v>0</v>
      </c>
      <c r="L166" s="13">
        <f>J166-K166</f>
        <v>0</v>
      </c>
      <c r="M166" s="24">
        <f>M165*(1+J166)</f>
        <v>0</v>
      </c>
      <c r="N166" s="13">
        <f>M166/MAX($M$3:M166)-1</f>
        <v>0</v>
      </c>
      <c r="O166" s="24">
        <f>O165*(1+K166)</f>
        <v>0</v>
      </c>
    </row>
    <row r="167" spans="9:15">
      <c r="I167" s="12">
        <f>'2_Retornos'!A166</f>
        <v>0</v>
      </c>
      <c r="J167" s="13">
        <f>SUMPRODUCT($B$5:$F$5,'2_Retornos'!B166:F166)</f>
        <v>0</v>
      </c>
      <c r="K167" s="13">
        <f>'2_Retornos'!G166</f>
        <v>0</v>
      </c>
      <c r="L167" s="13">
        <f>J167-K167</f>
        <v>0</v>
      </c>
      <c r="M167" s="24">
        <f>M166*(1+J167)</f>
        <v>0</v>
      </c>
      <c r="N167" s="13">
        <f>M167/MAX($M$3:M167)-1</f>
        <v>0</v>
      </c>
      <c r="O167" s="24">
        <f>O166*(1+K167)</f>
        <v>0</v>
      </c>
    </row>
    <row r="168" spans="9:15">
      <c r="I168" s="12">
        <f>'2_Retornos'!A167</f>
        <v>0</v>
      </c>
      <c r="J168" s="13">
        <f>SUMPRODUCT($B$5:$F$5,'2_Retornos'!B167:F167)</f>
        <v>0</v>
      </c>
      <c r="K168" s="13">
        <f>'2_Retornos'!G167</f>
        <v>0</v>
      </c>
      <c r="L168" s="13">
        <f>J168-K168</f>
        <v>0</v>
      </c>
      <c r="M168" s="24">
        <f>M167*(1+J168)</f>
        <v>0</v>
      </c>
      <c r="N168" s="13">
        <f>M168/MAX($M$3:M168)-1</f>
        <v>0</v>
      </c>
      <c r="O168" s="24">
        <f>O167*(1+K168)</f>
        <v>0</v>
      </c>
    </row>
    <row r="169" spans="9:15">
      <c r="I169" s="12">
        <f>'2_Retornos'!A168</f>
        <v>0</v>
      </c>
      <c r="J169" s="13">
        <f>SUMPRODUCT($B$5:$F$5,'2_Retornos'!B168:F168)</f>
        <v>0</v>
      </c>
      <c r="K169" s="13">
        <f>'2_Retornos'!G168</f>
        <v>0</v>
      </c>
      <c r="L169" s="13">
        <f>J169-K169</f>
        <v>0</v>
      </c>
      <c r="M169" s="24">
        <f>M168*(1+J169)</f>
        <v>0</v>
      </c>
      <c r="N169" s="13">
        <f>M169/MAX($M$3:M169)-1</f>
        <v>0</v>
      </c>
      <c r="O169" s="24">
        <f>O168*(1+K169)</f>
        <v>0</v>
      </c>
    </row>
    <row r="170" spans="9:15">
      <c r="I170" s="12">
        <f>'2_Retornos'!A169</f>
        <v>0</v>
      </c>
      <c r="J170" s="13">
        <f>SUMPRODUCT($B$5:$F$5,'2_Retornos'!B169:F169)</f>
        <v>0</v>
      </c>
      <c r="K170" s="13">
        <f>'2_Retornos'!G169</f>
        <v>0</v>
      </c>
      <c r="L170" s="13">
        <f>J170-K170</f>
        <v>0</v>
      </c>
      <c r="M170" s="24">
        <f>M169*(1+J170)</f>
        <v>0</v>
      </c>
      <c r="N170" s="13">
        <f>M170/MAX($M$3:M170)-1</f>
        <v>0</v>
      </c>
      <c r="O170" s="24">
        <f>O169*(1+K170)</f>
        <v>0</v>
      </c>
    </row>
    <row r="171" spans="9:15">
      <c r="I171" s="12">
        <f>'2_Retornos'!A170</f>
        <v>0</v>
      </c>
      <c r="J171" s="13">
        <f>SUMPRODUCT($B$5:$F$5,'2_Retornos'!B170:F170)</f>
        <v>0</v>
      </c>
      <c r="K171" s="13">
        <f>'2_Retornos'!G170</f>
        <v>0</v>
      </c>
      <c r="L171" s="13">
        <f>J171-K171</f>
        <v>0</v>
      </c>
      <c r="M171" s="24">
        <f>M170*(1+J171)</f>
        <v>0</v>
      </c>
      <c r="N171" s="13">
        <f>M171/MAX($M$3:M171)-1</f>
        <v>0</v>
      </c>
      <c r="O171" s="24">
        <f>O170*(1+K171)</f>
        <v>0</v>
      </c>
    </row>
    <row r="172" spans="9:15">
      <c r="I172" s="12">
        <f>'2_Retornos'!A171</f>
        <v>0</v>
      </c>
      <c r="J172" s="13">
        <f>SUMPRODUCT($B$5:$F$5,'2_Retornos'!B171:F171)</f>
        <v>0</v>
      </c>
      <c r="K172" s="13">
        <f>'2_Retornos'!G171</f>
        <v>0</v>
      </c>
      <c r="L172" s="13">
        <f>J172-K172</f>
        <v>0</v>
      </c>
      <c r="M172" s="24">
        <f>M171*(1+J172)</f>
        <v>0</v>
      </c>
      <c r="N172" s="13">
        <f>M172/MAX($M$3:M172)-1</f>
        <v>0</v>
      </c>
      <c r="O172" s="24">
        <f>O171*(1+K172)</f>
        <v>0</v>
      </c>
    </row>
    <row r="173" spans="9:15">
      <c r="I173" s="12">
        <f>'2_Retornos'!A172</f>
        <v>0</v>
      </c>
      <c r="J173" s="13">
        <f>SUMPRODUCT($B$5:$F$5,'2_Retornos'!B172:F172)</f>
        <v>0</v>
      </c>
      <c r="K173" s="13">
        <f>'2_Retornos'!G172</f>
        <v>0</v>
      </c>
      <c r="L173" s="13">
        <f>J173-K173</f>
        <v>0</v>
      </c>
      <c r="M173" s="24">
        <f>M172*(1+J173)</f>
        <v>0</v>
      </c>
      <c r="N173" s="13">
        <f>M173/MAX($M$3:M173)-1</f>
        <v>0</v>
      </c>
      <c r="O173" s="24">
        <f>O172*(1+K173)</f>
        <v>0</v>
      </c>
    </row>
    <row r="174" spans="9:15">
      <c r="I174" s="12">
        <f>'2_Retornos'!A173</f>
        <v>0</v>
      </c>
      <c r="J174" s="13">
        <f>SUMPRODUCT($B$5:$F$5,'2_Retornos'!B173:F173)</f>
        <v>0</v>
      </c>
      <c r="K174" s="13">
        <f>'2_Retornos'!G173</f>
        <v>0</v>
      </c>
      <c r="L174" s="13">
        <f>J174-K174</f>
        <v>0</v>
      </c>
      <c r="M174" s="24">
        <f>M173*(1+J174)</f>
        <v>0</v>
      </c>
      <c r="N174" s="13">
        <f>M174/MAX($M$3:M174)-1</f>
        <v>0</v>
      </c>
      <c r="O174" s="24">
        <f>O173*(1+K174)</f>
        <v>0</v>
      </c>
    </row>
    <row r="175" spans="9:15">
      <c r="I175" s="12">
        <f>'2_Retornos'!A174</f>
        <v>0</v>
      </c>
      <c r="J175" s="13">
        <f>SUMPRODUCT($B$5:$F$5,'2_Retornos'!B174:F174)</f>
        <v>0</v>
      </c>
      <c r="K175" s="13">
        <f>'2_Retornos'!G174</f>
        <v>0</v>
      </c>
      <c r="L175" s="13">
        <f>J175-K175</f>
        <v>0</v>
      </c>
      <c r="M175" s="24">
        <f>M174*(1+J175)</f>
        <v>0</v>
      </c>
      <c r="N175" s="13">
        <f>M175/MAX($M$3:M175)-1</f>
        <v>0</v>
      </c>
      <c r="O175" s="24">
        <f>O174*(1+K175)</f>
        <v>0</v>
      </c>
    </row>
    <row r="176" spans="9:15">
      <c r="I176" s="12">
        <f>'2_Retornos'!A175</f>
        <v>0</v>
      </c>
      <c r="J176" s="13">
        <f>SUMPRODUCT($B$5:$F$5,'2_Retornos'!B175:F175)</f>
        <v>0</v>
      </c>
      <c r="K176" s="13">
        <f>'2_Retornos'!G175</f>
        <v>0</v>
      </c>
      <c r="L176" s="13">
        <f>J176-K176</f>
        <v>0</v>
      </c>
      <c r="M176" s="24">
        <f>M175*(1+J176)</f>
        <v>0</v>
      </c>
      <c r="N176" s="13">
        <f>M176/MAX($M$3:M176)-1</f>
        <v>0</v>
      </c>
      <c r="O176" s="24">
        <f>O175*(1+K176)</f>
        <v>0</v>
      </c>
    </row>
    <row r="177" spans="9:15">
      <c r="I177" s="12">
        <f>'2_Retornos'!A176</f>
        <v>0</v>
      </c>
      <c r="J177" s="13">
        <f>SUMPRODUCT($B$5:$F$5,'2_Retornos'!B176:F176)</f>
        <v>0</v>
      </c>
      <c r="K177" s="13">
        <f>'2_Retornos'!G176</f>
        <v>0</v>
      </c>
      <c r="L177" s="13">
        <f>J177-K177</f>
        <v>0</v>
      </c>
      <c r="M177" s="24">
        <f>M176*(1+J177)</f>
        <v>0</v>
      </c>
      <c r="N177" s="13">
        <f>M177/MAX($M$3:M177)-1</f>
        <v>0</v>
      </c>
      <c r="O177" s="24">
        <f>O176*(1+K177)</f>
        <v>0</v>
      </c>
    </row>
    <row r="178" spans="9:15">
      <c r="I178" s="12">
        <f>'2_Retornos'!A177</f>
        <v>0</v>
      </c>
      <c r="J178" s="13">
        <f>SUMPRODUCT($B$5:$F$5,'2_Retornos'!B177:F177)</f>
        <v>0</v>
      </c>
      <c r="K178" s="13">
        <f>'2_Retornos'!G177</f>
        <v>0</v>
      </c>
      <c r="L178" s="13">
        <f>J178-K178</f>
        <v>0</v>
      </c>
      <c r="M178" s="24">
        <f>M177*(1+J178)</f>
        <v>0</v>
      </c>
      <c r="N178" s="13">
        <f>M178/MAX($M$3:M178)-1</f>
        <v>0</v>
      </c>
      <c r="O178" s="24">
        <f>O177*(1+K178)</f>
        <v>0</v>
      </c>
    </row>
    <row r="179" spans="9:15">
      <c r="I179" s="12">
        <f>'2_Retornos'!A178</f>
        <v>0</v>
      </c>
      <c r="J179" s="13">
        <f>SUMPRODUCT($B$5:$F$5,'2_Retornos'!B178:F178)</f>
        <v>0</v>
      </c>
      <c r="K179" s="13">
        <f>'2_Retornos'!G178</f>
        <v>0</v>
      </c>
      <c r="L179" s="13">
        <f>J179-K179</f>
        <v>0</v>
      </c>
      <c r="M179" s="24">
        <f>M178*(1+J179)</f>
        <v>0</v>
      </c>
      <c r="N179" s="13">
        <f>M179/MAX($M$3:M179)-1</f>
        <v>0</v>
      </c>
      <c r="O179" s="24">
        <f>O178*(1+K179)</f>
        <v>0</v>
      </c>
    </row>
    <row r="180" spans="9:15">
      <c r="I180" s="12">
        <f>'2_Retornos'!A179</f>
        <v>0</v>
      </c>
      <c r="J180" s="13">
        <f>SUMPRODUCT($B$5:$F$5,'2_Retornos'!B179:F179)</f>
        <v>0</v>
      </c>
      <c r="K180" s="13">
        <f>'2_Retornos'!G179</f>
        <v>0</v>
      </c>
      <c r="L180" s="13">
        <f>J180-K180</f>
        <v>0</v>
      </c>
      <c r="M180" s="24">
        <f>M179*(1+J180)</f>
        <v>0</v>
      </c>
      <c r="N180" s="13">
        <f>M180/MAX($M$3:M180)-1</f>
        <v>0</v>
      </c>
      <c r="O180" s="24">
        <f>O179*(1+K180)</f>
        <v>0</v>
      </c>
    </row>
    <row r="181" spans="9:15">
      <c r="I181" s="12">
        <f>'2_Retornos'!A180</f>
        <v>0</v>
      </c>
      <c r="J181" s="13">
        <f>SUMPRODUCT($B$5:$F$5,'2_Retornos'!B180:F180)</f>
        <v>0</v>
      </c>
      <c r="K181" s="13">
        <f>'2_Retornos'!G180</f>
        <v>0</v>
      </c>
      <c r="L181" s="13">
        <f>J181-K181</f>
        <v>0</v>
      </c>
      <c r="M181" s="24">
        <f>M180*(1+J181)</f>
        <v>0</v>
      </c>
      <c r="N181" s="13">
        <f>M181/MAX($M$3:M181)-1</f>
        <v>0</v>
      </c>
      <c r="O181" s="24">
        <f>O180*(1+K181)</f>
        <v>0</v>
      </c>
    </row>
    <row r="182" spans="9:15">
      <c r="I182" s="12">
        <f>'2_Retornos'!A181</f>
        <v>0</v>
      </c>
      <c r="J182" s="13">
        <f>SUMPRODUCT($B$5:$F$5,'2_Retornos'!B181:F181)</f>
        <v>0</v>
      </c>
      <c r="K182" s="13">
        <f>'2_Retornos'!G181</f>
        <v>0</v>
      </c>
      <c r="L182" s="13">
        <f>J182-K182</f>
        <v>0</v>
      </c>
      <c r="M182" s="24">
        <f>M181*(1+J182)</f>
        <v>0</v>
      </c>
      <c r="N182" s="13">
        <f>M182/MAX($M$3:M182)-1</f>
        <v>0</v>
      </c>
      <c r="O182" s="24">
        <f>O181*(1+K182)</f>
        <v>0</v>
      </c>
    </row>
    <row r="183" spans="9:15">
      <c r="I183" s="12">
        <f>'2_Retornos'!A182</f>
        <v>0</v>
      </c>
      <c r="J183" s="13">
        <f>SUMPRODUCT($B$5:$F$5,'2_Retornos'!B182:F182)</f>
        <v>0</v>
      </c>
      <c r="K183" s="13">
        <f>'2_Retornos'!G182</f>
        <v>0</v>
      </c>
      <c r="L183" s="13">
        <f>J183-K183</f>
        <v>0</v>
      </c>
      <c r="M183" s="24">
        <f>M182*(1+J183)</f>
        <v>0</v>
      </c>
      <c r="N183" s="13">
        <f>M183/MAX($M$3:M183)-1</f>
        <v>0</v>
      </c>
      <c r="O183" s="24">
        <f>O182*(1+K183)</f>
        <v>0</v>
      </c>
    </row>
    <row r="184" spans="9:15">
      <c r="I184" s="12">
        <f>'2_Retornos'!A183</f>
        <v>0</v>
      </c>
      <c r="J184" s="13">
        <f>SUMPRODUCT($B$5:$F$5,'2_Retornos'!B183:F183)</f>
        <v>0</v>
      </c>
      <c r="K184" s="13">
        <f>'2_Retornos'!G183</f>
        <v>0</v>
      </c>
      <c r="L184" s="13">
        <f>J184-K184</f>
        <v>0</v>
      </c>
      <c r="M184" s="24">
        <f>M183*(1+J184)</f>
        <v>0</v>
      </c>
      <c r="N184" s="13">
        <f>M184/MAX($M$3:M184)-1</f>
        <v>0</v>
      </c>
      <c r="O184" s="24">
        <f>O183*(1+K184)</f>
        <v>0</v>
      </c>
    </row>
    <row r="185" spans="9:15">
      <c r="I185" s="12">
        <f>'2_Retornos'!A184</f>
        <v>0</v>
      </c>
      <c r="J185" s="13">
        <f>SUMPRODUCT($B$5:$F$5,'2_Retornos'!B184:F184)</f>
        <v>0</v>
      </c>
      <c r="K185" s="13">
        <f>'2_Retornos'!G184</f>
        <v>0</v>
      </c>
      <c r="L185" s="13">
        <f>J185-K185</f>
        <v>0</v>
      </c>
      <c r="M185" s="24">
        <f>M184*(1+J185)</f>
        <v>0</v>
      </c>
      <c r="N185" s="13">
        <f>M185/MAX($M$3:M185)-1</f>
        <v>0</v>
      </c>
      <c r="O185" s="24">
        <f>O184*(1+K185)</f>
        <v>0</v>
      </c>
    </row>
    <row r="186" spans="9:15">
      <c r="I186" s="12">
        <f>'2_Retornos'!A185</f>
        <v>0</v>
      </c>
      <c r="J186" s="13">
        <f>SUMPRODUCT($B$5:$F$5,'2_Retornos'!B185:F185)</f>
        <v>0</v>
      </c>
      <c r="K186" s="13">
        <f>'2_Retornos'!G185</f>
        <v>0</v>
      </c>
      <c r="L186" s="13">
        <f>J186-K186</f>
        <v>0</v>
      </c>
      <c r="M186" s="24">
        <f>M185*(1+J186)</f>
        <v>0</v>
      </c>
      <c r="N186" s="13">
        <f>M186/MAX($M$3:M186)-1</f>
        <v>0</v>
      </c>
      <c r="O186" s="24">
        <f>O185*(1+K186)</f>
        <v>0</v>
      </c>
    </row>
    <row r="187" spans="9:15">
      <c r="I187" s="12">
        <f>'2_Retornos'!A186</f>
        <v>0</v>
      </c>
      <c r="J187" s="13">
        <f>SUMPRODUCT($B$5:$F$5,'2_Retornos'!B186:F186)</f>
        <v>0</v>
      </c>
      <c r="K187" s="13">
        <f>'2_Retornos'!G186</f>
        <v>0</v>
      </c>
      <c r="L187" s="13">
        <f>J187-K187</f>
        <v>0</v>
      </c>
      <c r="M187" s="24">
        <f>M186*(1+J187)</f>
        <v>0</v>
      </c>
      <c r="N187" s="13">
        <f>M187/MAX($M$3:M187)-1</f>
        <v>0</v>
      </c>
      <c r="O187" s="24">
        <f>O186*(1+K187)</f>
        <v>0</v>
      </c>
    </row>
    <row r="188" spans="9:15">
      <c r="I188" s="12">
        <f>'2_Retornos'!A187</f>
        <v>0</v>
      </c>
      <c r="J188" s="13">
        <f>SUMPRODUCT($B$5:$F$5,'2_Retornos'!B187:F187)</f>
        <v>0</v>
      </c>
      <c r="K188" s="13">
        <f>'2_Retornos'!G187</f>
        <v>0</v>
      </c>
      <c r="L188" s="13">
        <f>J188-K188</f>
        <v>0</v>
      </c>
      <c r="M188" s="24">
        <f>M187*(1+J188)</f>
        <v>0</v>
      </c>
      <c r="N188" s="13">
        <f>M188/MAX($M$3:M188)-1</f>
        <v>0</v>
      </c>
      <c r="O188" s="24">
        <f>O187*(1+K188)</f>
        <v>0</v>
      </c>
    </row>
    <row r="189" spans="9:15">
      <c r="I189" s="12">
        <f>'2_Retornos'!A188</f>
        <v>0</v>
      </c>
      <c r="J189" s="13">
        <f>SUMPRODUCT($B$5:$F$5,'2_Retornos'!B188:F188)</f>
        <v>0</v>
      </c>
      <c r="K189" s="13">
        <f>'2_Retornos'!G188</f>
        <v>0</v>
      </c>
      <c r="L189" s="13">
        <f>J189-K189</f>
        <v>0</v>
      </c>
      <c r="M189" s="24">
        <f>M188*(1+J189)</f>
        <v>0</v>
      </c>
      <c r="N189" s="13">
        <f>M189/MAX($M$3:M189)-1</f>
        <v>0</v>
      </c>
      <c r="O189" s="24">
        <f>O188*(1+K189)</f>
        <v>0</v>
      </c>
    </row>
    <row r="190" spans="9:15">
      <c r="I190" s="12">
        <f>'2_Retornos'!A189</f>
        <v>0</v>
      </c>
      <c r="J190" s="13">
        <f>SUMPRODUCT($B$5:$F$5,'2_Retornos'!B189:F189)</f>
        <v>0</v>
      </c>
      <c r="K190" s="13">
        <f>'2_Retornos'!G189</f>
        <v>0</v>
      </c>
      <c r="L190" s="13">
        <f>J190-K190</f>
        <v>0</v>
      </c>
      <c r="M190" s="24">
        <f>M189*(1+J190)</f>
        <v>0</v>
      </c>
      <c r="N190" s="13">
        <f>M190/MAX($M$3:M190)-1</f>
        <v>0</v>
      </c>
      <c r="O190" s="24">
        <f>O189*(1+K190)</f>
        <v>0</v>
      </c>
    </row>
    <row r="191" spans="9:15">
      <c r="I191" s="12">
        <f>'2_Retornos'!A190</f>
        <v>0</v>
      </c>
      <c r="J191" s="13">
        <f>SUMPRODUCT($B$5:$F$5,'2_Retornos'!B190:F190)</f>
        <v>0</v>
      </c>
      <c r="K191" s="13">
        <f>'2_Retornos'!G190</f>
        <v>0</v>
      </c>
      <c r="L191" s="13">
        <f>J191-K191</f>
        <v>0</v>
      </c>
      <c r="M191" s="24">
        <f>M190*(1+J191)</f>
        <v>0</v>
      </c>
      <c r="N191" s="13">
        <f>M191/MAX($M$3:M191)-1</f>
        <v>0</v>
      </c>
      <c r="O191" s="24">
        <f>O190*(1+K191)</f>
        <v>0</v>
      </c>
    </row>
    <row r="192" spans="9:15">
      <c r="I192" s="12">
        <f>'2_Retornos'!A191</f>
        <v>0</v>
      </c>
      <c r="J192" s="13">
        <f>SUMPRODUCT($B$5:$F$5,'2_Retornos'!B191:F191)</f>
        <v>0</v>
      </c>
      <c r="K192" s="13">
        <f>'2_Retornos'!G191</f>
        <v>0</v>
      </c>
      <c r="L192" s="13">
        <f>J192-K192</f>
        <v>0</v>
      </c>
      <c r="M192" s="24">
        <f>M191*(1+J192)</f>
        <v>0</v>
      </c>
      <c r="N192" s="13">
        <f>M192/MAX($M$3:M192)-1</f>
        <v>0</v>
      </c>
      <c r="O192" s="24">
        <f>O191*(1+K192)</f>
        <v>0</v>
      </c>
    </row>
    <row r="193" spans="9:15">
      <c r="I193" s="12">
        <f>'2_Retornos'!A192</f>
        <v>0</v>
      </c>
      <c r="J193" s="13">
        <f>SUMPRODUCT($B$5:$F$5,'2_Retornos'!B192:F192)</f>
        <v>0</v>
      </c>
      <c r="K193" s="13">
        <f>'2_Retornos'!G192</f>
        <v>0</v>
      </c>
      <c r="L193" s="13">
        <f>J193-K193</f>
        <v>0</v>
      </c>
      <c r="M193" s="24">
        <f>M192*(1+J193)</f>
        <v>0</v>
      </c>
      <c r="N193" s="13">
        <f>M193/MAX($M$3:M193)-1</f>
        <v>0</v>
      </c>
      <c r="O193" s="24">
        <f>O192*(1+K193)</f>
        <v>0</v>
      </c>
    </row>
    <row r="194" spans="9:15">
      <c r="I194" s="12">
        <f>'2_Retornos'!A193</f>
        <v>0</v>
      </c>
      <c r="J194" s="13">
        <f>SUMPRODUCT($B$5:$F$5,'2_Retornos'!B193:F193)</f>
        <v>0</v>
      </c>
      <c r="K194" s="13">
        <f>'2_Retornos'!G193</f>
        <v>0</v>
      </c>
      <c r="L194" s="13">
        <f>J194-K194</f>
        <v>0</v>
      </c>
      <c r="M194" s="24">
        <f>M193*(1+J194)</f>
        <v>0</v>
      </c>
      <c r="N194" s="13">
        <f>M194/MAX($M$3:M194)-1</f>
        <v>0</v>
      </c>
      <c r="O194" s="24">
        <f>O193*(1+K194)</f>
        <v>0</v>
      </c>
    </row>
    <row r="195" spans="9:15">
      <c r="I195" s="12">
        <f>'2_Retornos'!A194</f>
        <v>0</v>
      </c>
      <c r="J195" s="13">
        <f>SUMPRODUCT($B$5:$F$5,'2_Retornos'!B194:F194)</f>
        <v>0</v>
      </c>
      <c r="K195" s="13">
        <f>'2_Retornos'!G194</f>
        <v>0</v>
      </c>
      <c r="L195" s="13">
        <f>J195-K195</f>
        <v>0</v>
      </c>
      <c r="M195" s="24">
        <f>M194*(1+J195)</f>
        <v>0</v>
      </c>
      <c r="N195" s="13">
        <f>M195/MAX($M$3:M195)-1</f>
        <v>0</v>
      </c>
      <c r="O195" s="24">
        <f>O194*(1+K195)</f>
        <v>0</v>
      </c>
    </row>
    <row r="196" spans="9:15">
      <c r="I196" s="12">
        <f>'2_Retornos'!A195</f>
        <v>0</v>
      </c>
      <c r="J196" s="13">
        <f>SUMPRODUCT($B$5:$F$5,'2_Retornos'!B195:F195)</f>
        <v>0</v>
      </c>
      <c r="K196" s="13">
        <f>'2_Retornos'!G195</f>
        <v>0</v>
      </c>
      <c r="L196" s="13">
        <f>J196-K196</f>
        <v>0</v>
      </c>
      <c r="M196" s="24">
        <f>M195*(1+J196)</f>
        <v>0</v>
      </c>
      <c r="N196" s="13">
        <f>M196/MAX($M$3:M196)-1</f>
        <v>0</v>
      </c>
      <c r="O196" s="24">
        <f>O195*(1+K196)</f>
        <v>0</v>
      </c>
    </row>
    <row r="197" spans="9:15">
      <c r="I197" s="12">
        <f>'2_Retornos'!A196</f>
        <v>0</v>
      </c>
      <c r="J197" s="13">
        <f>SUMPRODUCT($B$5:$F$5,'2_Retornos'!B196:F196)</f>
        <v>0</v>
      </c>
      <c r="K197" s="13">
        <f>'2_Retornos'!G196</f>
        <v>0</v>
      </c>
      <c r="L197" s="13">
        <f>J197-K197</f>
        <v>0</v>
      </c>
      <c r="M197" s="24">
        <f>M196*(1+J197)</f>
        <v>0</v>
      </c>
      <c r="N197" s="13">
        <f>M197/MAX($M$3:M197)-1</f>
        <v>0</v>
      </c>
      <c r="O197" s="24">
        <f>O196*(1+K197)</f>
        <v>0</v>
      </c>
    </row>
    <row r="198" spans="9:15">
      <c r="I198" s="12">
        <f>'2_Retornos'!A197</f>
        <v>0</v>
      </c>
      <c r="J198" s="13">
        <f>SUMPRODUCT($B$5:$F$5,'2_Retornos'!B197:F197)</f>
        <v>0</v>
      </c>
      <c r="K198" s="13">
        <f>'2_Retornos'!G197</f>
        <v>0</v>
      </c>
      <c r="L198" s="13">
        <f>J198-K198</f>
        <v>0</v>
      </c>
      <c r="M198" s="24">
        <f>M197*(1+J198)</f>
        <v>0</v>
      </c>
      <c r="N198" s="13">
        <f>M198/MAX($M$3:M198)-1</f>
        <v>0</v>
      </c>
      <c r="O198" s="24">
        <f>O197*(1+K198)</f>
        <v>0</v>
      </c>
    </row>
    <row r="199" spans="9:15">
      <c r="I199" s="12">
        <f>'2_Retornos'!A198</f>
        <v>0</v>
      </c>
      <c r="J199" s="13">
        <f>SUMPRODUCT($B$5:$F$5,'2_Retornos'!B198:F198)</f>
        <v>0</v>
      </c>
      <c r="K199" s="13">
        <f>'2_Retornos'!G198</f>
        <v>0</v>
      </c>
      <c r="L199" s="13">
        <f>J199-K199</f>
        <v>0</v>
      </c>
      <c r="M199" s="24">
        <f>M198*(1+J199)</f>
        <v>0</v>
      </c>
      <c r="N199" s="13">
        <f>M199/MAX($M$3:M199)-1</f>
        <v>0</v>
      </c>
      <c r="O199" s="24">
        <f>O198*(1+K199)</f>
        <v>0</v>
      </c>
    </row>
    <row r="200" spans="9:15">
      <c r="I200" s="12">
        <f>'2_Retornos'!A199</f>
        <v>0</v>
      </c>
      <c r="J200" s="13">
        <f>SUMPRODUCT($B$5:$F$5,'2_Retornos'!B199:F199)</f>
        <v>0</v>
      </c>
      <c r="K200" s="13">
        <f>'2_Retornos'!G199</f>
        <v>0</v>
      </c>
      <c r="L200" s="13">
        <f>J200-K200</f>
        <v>0</v>
      </c>
      <c r="M200" s="24">
        <f>M199*(1+J200)</f>
        <v>0</v>
      </c>
      <c r="N200" s="13">
        <f>M200/MAX($M$3:M200)-1</f>
        <v>0</v>
      </c>
      <c r="O200" s="24">
        <f>O199*(1+K200)</f>
        <v>0</v>
      </c>
    </row>
    <row r="201" spans="9:15">
      <c r="I201" s="12">
        <f>'2_Retornos'!A200</f>
        <v>0</v>
      </c>
      <c r="J201" s="13">
        <f>SUMPRODUCT($B$5:$F$5,'2_Retornos'!B200:F200)</f>
        <v>0</v>
      </c>
      <c r="K201" s="13">
        <f>'2_Retornos'!G200</f>
        <v>0</v>
      </c>
      <c r="L201" s="13">
        <f>J201-K201</f>
        <v>0</v>
      </c>
      <c r="M201" s="24">
        <f>M200*(1+J201)</f>
        <v>0</v>
      </c>
      <c r="N201" s="13">
        <f>M201/MAX($M$3:M201)-1</f>
        <v>0</v>
      </c>
      <c r="O201" s="24">
        <f>O200*(1+K201)</f>
        <v>0</v>
      </c>
    </row>
    <row r="202" spans="9:15">
      <c r="I202" s="12">
        <f>'2_Retornos'!A201</f>
        <v>0</v>
      </c>
      <c r="J202" s="13">
        <f>SUMPRODUCT($B$5:$F$5,'2_Retornos'!B201:F201)</f>
        <v>0</v>
      </c>
      <c r="K202" s="13">
        <f>'2_Retornos'!G201</f>
        <v>0</v>
      </c>
      <c r="L202" s="13">
        <f>J202-K202</f>
        <v>0</v>
      </c>
      <c r="M202" s="24">
        <f>M201*(1+J202)</f>
        <v>0</v>
      </c>
      <c r="N202" s="13">
        <f>M202/MAX($M$3:M202)-1</f>
        <v>0</v>
      </c>
      <c r="O202" s="24">
        <f>O201*(1+K202)</f>
        <v>0</v>
      </c>
    </row>
    <row r="203" spans="9:15">
      <c r="I203" s="12">
        <f>'2_Retornos'!A202</f>
        <v>0</v>
      </c>
      <c r="J203" s="13">
        <f>SUMPRODUCT($B$5:$F$5,'2_Retornos'!B202:F202)</f>
        <v>0</v>
      </c>
      <c r="K203" s="13">
        <f>'2_Retornos'!G202</f>
        <v>0</v>
      </c>
      <c r="L203" s="13">
        <f>J203-K203</f>
        <v>0</v>
      </c>
      <c r="M203" s="24">
        <f>M202*(1+J203)</f>
        <v>0</v>
      </c>
      <c r="N203" s="13">
        <f>M203/MAX($M$3:M203)-1</f>
        <v>0</v>
      </c>
      <c r="O203" s="24">
        <f>O202*(1+K203)</f>
        <v>0</v>
      </c>
    </row>
    <row r="204" spans="9:15">
      <c r="I204" s="12">
        <f>'2_Retornos'!A203</f>
        <v>0</v>
      </c>
      <c r="J204" s="13">
        <f>SUMPRODUCT($B$5:$F$5,'2_Retornos'!B203:F203)</f>
        <v>0</v>
      </c>
      <c r="K204" s="13">
        <f>'2_Retornos'!G203</f>
        <v>0</v>
      </c>
      <c r="L204" s="13">
        <f>J204-K204</f>
        <v>0</v>
      </c>
      <c r="M204" s="24">
        <f>M203*(1+J204)</f>
        <v>0</v>
      </c>
      <c r="N204" s="13">
        <f>M204/MAX($M$3:M204)-1</f>
        <v>0</v>
      </c>
      <c r="O204" s="24">
        <f>O203*(1+K204)</f>
        <v>0</v>
      </c>
    </row>
    <row r="205" spans="9:15">
      <c r="I205" s="12">
        <f>'2_Retornos'!A204</f>
        <v>0</v>
      </c>
      <c r="J205" s="13">
        <f>SUMPRODUCT($B$5:$F$5,'2_Retornos'!B204:F204)</f>
        <v>0</v>
      </c>
      <c r="K205" s="13">
        <f>'2_Retornos'!G204</f>
        <v>0</v>
      </c>
      <c r="L205" s="13">
        <f>J205-K205</f>
        <v>0</v>
      </c>
      <c r="M205" s="24">
        <f>M204*(1+J205)</f>
        <v>0</v>
      </c>
      <c r="N205" s="13">
        <f>M205/MAX($M$3:M205)-1</f>
        <v>0</v>
      </c>
      <c r="O205" s="24">
        <f>O204*(1+K205)</f>
        <v>0</v>
      </c>
    </row>
    <row r="206" spans="9:15">
      <c r="I206" s="12">
        <f>'2_Retornos'!A205</f>
        <v>0</v>
      </c>
      <c r="J206" s="13">
        <f>SUMPRODUCT($B$5:$F$5,'2_Retornos'!B205:F205)</f>
        <v>0</v>
      </c>
      <c r="K206" s="13">
        <f>'2_Retornos'!G205</f>
        <v>0</v>
      </c>
      <c r="L206" s="13">
        <f>J206-K206</f>
        <v>0</v>
      </c>
      <c r="M206" s="24">
        <f>M205*(1+J206)</f>
        <v>0</v>
      </c>
      <c r="N206" s="13">
        <f>M206/MAX($M$3:M206)-1</f>
        <v>0</v>
      </c>
      <c r="O206" s="24">
        <f>O205*(1+K206)</f>
        <v>0</v>
      </c>
    </row>
    <row r="207" spans="9:15">
      <c r="I207" s="12">
        <f>'2_Retornos'!A206</f>
        <v>0</v>
      </c>
      <c r="J207" s="13">
        <f>SUMPRODUCT($B$5:$F$5,'2_Retornos'!B206:F206)</f>
        <v>0</v>
      </c>
      <c r="K207" s="13">
        <f>'2_Retornos'!G206</f>
        <v>0</v>
      </c>
      <c r="L207" s="13">
        <f>J207-K207</f>
        <v>0</v>
      </c>
      <c r="M207" s="24">
        <f>M206*(1+J207)</f>
        <v>0</v>
      </c>
      <c r="N207" s="13">
        <f>M207/MAX($M$3:M207)-1</f>
        <v>0</v>
      </c>
      <c r="O207" s="24">
        <f>O206*(1+K207)</f>
        <v>0</v>
      </c>
    </row>
    <row r="208" spans="9:15">
      <c r="I208" s="12">
        <f>'2_Retornos'!A207</f>
        <v>0</v>
      </c>
      <c r="J208" s="13">
        <f>SUMPRODUCT($B$5:$F$5,'2_Retornos'!B207:F207)</f>
        <v>0</v>
      </c>
      <c r="K208" s="13">
        <f>'2_Retornos'!G207</f>
        <v>0</v>
      </c>
      <c r="L208" s="13">
        <f>J208-K208</f>
        <v>0</v>
      </c>
      <c r="M208" s="24">
        <f>M207*(1+J208)</f>
        <v>0</v>
      </c>
      <c r="N208" s="13">
        <f>M208/MAX($M$3:M208)-1</f>
        <v>0</v>
      </c>
      <c r="O208" s="24">
        <f>O207*(1+K208)</f>
        <v>0</v>
      </c>
    </row>
    <row r="209" spans="9:15">
      <c r="I209" s="12">
        <f>'2_Retornos'!A208</f>
        <v>0</v>
      </c>
      <c r="J209" s="13">
        <f>SUMPRODUCT($B$5:$F$5,'2_Retornos'!B208:F208)</f>
        <v>0</v>
      </c>
      <c r="K209" s="13">
        <f>'2_Retornos'!G208</f>
        <v>0</v>
      </c>
      <c r="L209" s="13">
        <f>J209-K209</f>
        <v>0</v>
      </c>
      <c r="M209" s="24">
        <f>M208*(1+J209)</f>
        <v>0</v>
      </c>
      <c r="N209" s="13">
        <f>M209/MAX($M$3:M209)-1</f>
        <v>0</v>
      </c>
      <c r="O209" s="24">
        <f>O208*(1+K209)</f>
        <v>0</v>
      </c>
    </row>
    <row r="210" spans="9:15">
      <c r="I210" s="12">
        <f>'2_Retornos'!A209</f>
        <v>0</v>
      </c>
      <c r="J210" s="13">
        <f>SUMPRODUCT($B$5:$F$5,'2_Retornos'!B209:F209)</f>
        <v>0</v>
      </c>
      <c r="K210" s="13">
        <f>'2_Retornos'!G209</f>
        <v>0</v>
      </c>
      <c r="L210" s="13">
        <f>J210-K210</f>
        <v>0</v>
      </c>
      <c r="M210" s="24">
        <f>M209*(1+J210)</f>
        <v>0</v>
      </c>
      <c r="N210" s="13">
        <f>M210/MAX($M$3:M210)-1</f>
        <v>0</v>
      </c>
      <c r="O210" s="24">
        <f>O209*(1+K210)</f>
        <v>0</v>
      </c>
    </row>
    <row r="211" spans="9:15">
      <c r="I211" s="12">
        <f>'2_Retornos'!A210</f>
        <v>0</v>
      </c>
      <c r="J211" s="13">
        <f>SUMPRODUCT($B$5:$F$5,'2_Retornos'!B210:F210)</f>
        <v>0</v>
      </c>
      <c r="K211" s="13">
        <f>'2_Retornos'!G210</f>
        <v>0</v>
      </c>
      <c r="L211" s="13">
        <f>J211-K211</f>
        <v>0</v>
      </c>
      <c r="M211" s="24">
        <f>M210*(1+J211)</f>
        <v>0</v>
      </c>
      <c r="N211" s="13">
        <f>M211/MAX($M$3:M211)-1</f>
        <v>0</v>
      </c>
      <c r="O211" s="24">
        <f>O210*(1+K211)</f>
        <v>0</v>
      </c>
    </row>
    <row r="212" spans="9:15">
      <c r="I212" s="12">
        <f>'2_Retornos'!A211</f>
        <v>0</v>
      </c>
      <c r="J212" s="13">
        <f>SUMPRODUCT($B$5:$F$5,'2_Retornos'!B211:F211)</f>
        <v>0</v>
      </c>
      <c r="K212" s="13">
        <f>'2_Retornos'!G211</f>
        <v>0</v>
      </c>
      <c r="L212" s="13">
        <f>J212-K212</f>
        <v>0</v>
      </c>
      <c r="M212" s="24">
        <f>M211*(1+J212)</f>
        <v>0</v>
      </c>
      <c r="N212" s="13">
        <f>M212/MAX($M$3:M212)-1</f>
        <v>0</v>
      </c>
      <c r="O212" s="24">
        <f>O211*(1+K212)</f>
        <v>0</v>
      </c>
    </row>
    <row r="213" spans="9:15">
      <c r="I213" s="12">
        <f>'2_Retornos'!A212</f>
        <v>0</v>
      </c>
      <c r="J213" s="13">
        <f>SUMPRODUCT($B$5:$F$5,'2_Retornos'!B212:F212)</f>
        <v>0</v>
      </c>
      <c r="K213" s="13">
        <f>'2_Retornos'!G212</f>
        <v>0</v>
      </c>
      <c r="L213" s="13">
        <f>J213-K213</f>
        <v>0</v>
      </c>
      <c r="M213" s="24">
        <f>M212*(1+J213)</f>
        <v>0</v>
      </c>
      <c r="N213" s="13">
        <f>M213/MAX($M$3:M213)-1</f>
        <v>0</v>
      </c>
      <c r="O213" s="24">
        <f>O212*(1+K213)</f>
        <v>0</v>
      </c>
    </row>
    <row r="214" spans="9:15">
      <c r="I214" s="12">
        <f>'2_Retornos'!A213</f>
        <v>0</v>
      </c>
      <c r="J214" s="13">
        <f>SUMPRODUCT($B$5:$F$5,'2_Retornos'!B213:F213)</f>
        <v>0</v>
      </c>
      <c r="K214" s="13">
        <f>'2_Retornos'!G213</f>
        <v>0</v>
      </c>
      <c r="L214" s="13">
        <f>J214-K214</f>
        <v>0</v>
      </c>
      <c r="M214" s="24">
        <f>M213*(1+J214)</f>
        <v>0</v>
      </c>
      <c r="N214" s="13">
        <f>M214/MAX($M$3:M214)-1</f>
        <v>0</v>
      </c>
      <c r="O214" s="24">
        <f>O213*(1+K214)</f>
        <v>0</v>
      </c>
    </row>
    <row r="215" spans="9:15">
      <c r="I215" s="12">
        <f>'2_Retornos'!A214</f>
        <v>0</v>
      </c>
      <c r="J215" s="13">
        <f>SUMPRODUCT($B$5:$F$5,'2_Retornos'!B214:F214)</f>
        <v>0</v>
      </c>
      <c r="K215" s="13">
        <f>'2_Retornos'!G214</f>
        <v>0</v>
      </c>
      <c r="L215" s="13">
        <f>J215-K215</f>
        <v>0</v>
      </c>
      <c r="M215" s="24">
        <f>M214*(1+J215)</f>
        <v>0</v>
      </c>
      <c r="N215" s="13">
        <f>M215/MAX($M$3:M215)-1</f>
        <v>0</v>
      </c>
      <c r="O215" s="24">
        <f>O214*(1+K215)</f>
        <v>0</v>
      </c>
    </row>
    <row r="216" spans="9:15">
      <c r="I216" s="12">
        <f>'2_Retornos'!A215</f>
        <v>0</v>
      </c>
      <c r="J216" s="13">
        <f>SUMPRODUCT($B$5:$F$5,'2_Retornos'!B215:F215)</f>
        <v>0</v>
      </c>
      <c r="K216" s="13">
        <f>'2_Retornos'!G215</f>
        <v>0</v>
      </c>
      <c r="L216" s="13">
        <f>J216-K216</f>
        <v>0</v>
      </c>
      <c r="M216" s="24">
        <f>M215*(1+J216)</f>
        <v>0</v>
      </c>
      <c r="N216" s="13">
        <f>M216/MAX($M$3:M216)-1</f>
        <v>0</v>
      </c>
      <c r="O216" s="24">
        <f>O215*(1+K216)</f>
        <v>0</v>
      </c>
    </row>
    <row r="217" spans="9:15">
      <c r="I217" s="12">
        <f>'2_Retornos'!A216</f>
        <v>0</v>
      </c>
      <c r="J217" s="13">
        <f>SUMPRODUCT($B$5:$F$5,'2_Retornos'!B216:F216)</f>
        <v>0</v>
      </c>
      <c r="K217" s="13">
        <f>'2_Retornos'!G216</f>
        <v>0</v>
      </c>
      <c r="L217" s="13">
        <f>J217-K217</f>
        <v>0</v>
      </c>
      <c r="M217" s="24">
        <f>M216*(1+J217)</f>
        <v>0</v>
      </c>
      <c r="N217" s="13">
        <f>M217/MAX($M$3:M217)-1</f>
        <v>0</v>
      </c>
      <c r="O217" s="24">
        <f>O216*(1+K217)</f>
        <v>0</v>
      </c>
    </row>
    <row r="218" spans="9:15">
      <c r="I218" s="12">
        <f>'2_Retornos'!A217</f>
        <v>0</v>
      </c>
      <c r="J218" s="13">
        <f>SUMPRODUCT($B$5:$F$5,'2_Retornos'!B217:F217)</f>
        <v>0</v>
      </c>
      <c r="K218" s="13">
        <f>'2_Retornos'!G217</f>
        <v>0</v>
      </c>
      <c r="L218" s="13">
        <f>J218-K218</f>
        <v>0</v>
      </c>
      <c r="M218" s="24">
        <f>M217*(1+J218)</f>
        <v>0</v>
      </c>
      <c r="N218" s="13">
        <f>M218/MAX($M$3:M218)-1</f>
        <v>0</v>
      </c>
      <c r="O218" s="24">
        <f>O217*(1+K218)</f>
        <v>0</v>
      </c>
    </row>
    <row r="219" spans="9:15">
      <c r="I219" s="12">
        <f>'2_Retornos'!A218</f>
        <v>0</v>
      </c>
      <c r="J219" s="13">
        <f>SUMPRODUCT($B$5:$F$5,'2_Retornos'!B218:F218)</f>
        <v>0</v>
      </c>
      <c r="K219" s="13">
        <f>'2_Retornos'!G218</f>
        <v>0</v>
      </c>
      <c r="L219" s="13">
        <f>J219-K219</f>
        <v>0</v>
      </c>
      <c r="M219" s="24">
        <f>M218*(1+J219)</f>
        <v>0</v>
      </c>
      <c r="N219" s="13">
        <f>M219/MAX($M$3:M219)-1</f>
        <v>0</v>
      </c>
      <c r="O219" s="24">
        <f>O218*(1+K219)</f>
        <v>0</v>
      </c>
    </row>
    <row r="220" spans="9:15">
      <c r="I220" s="12">
        <f>'2_Retornos'!A219</f>
        <v>0</v>
      </c>
      <c r="J220" s="13">
        <f>SUMPRODUCT($B$5:$F$5,'2_Retornos'!B219:F219)</f>
        <v>0</v>
      </c>
      <c r="K220" s="13">
        <f>'2_Retornos'!G219</f>
        <v>0</v>
      </c>
      <c r="L220" s="13">
        <f>J220-K220</f>
        <v>0</v>
      </c>
      <c r="M220" s="24">
        <f>M219*(1+J220)</f>
        <v>0</v>
      </c>
      <c r="N220" s="13">
        <f>M220/MAX($M$3:M220)-1</f>
        <v>0</v>
      </c>
      <c r="O220" s="24">
        <f>O219*(1+K220)</f>
        <v>0</v>
      </c>
    </row>
    <row r="221" spans="9:15">
      <c r="I221" s="12">
        <f>'2_Retornos'!A220</f>
        <v>0</v>
      </c>
      <c r="J221" s="13">
        <f>SUMPRODUCT($B$5:$F$5,'2_Retornos'!B220:F220)</f>
        <v>0</v>
      </c>
      <c r="K221" s="13">
        <f>'2_Retornos'!G220</f>
        <v>0</v>
      </c>
      <c r="L221" s="13">
        <f>J221-K221</f>
        <v>0</v>
      </c>
      <c r="M221" s="24">
        <f>M220*(1+J221)</f>
        <v>0</v>
      </c>
      <c r="N221" s="13">
        <f>M221/MAX($M$3:M221)-1</f>
        <v>0</v>
      </c>
      <c r="O221" s="24">
        <f>O220*(1+K221)</f>
        <v>0</v>
      </c>
    </row>
    <row r="222" spans="9:15">
      <c r="I222" s="12">
        <f>'2_Retornos'!A221</f>
        <v>0</v>
      </c>
      <c r="J222" s="13">
        <f>SUMPRODUCT($B$5:$F$5,'2_Retornos'!B221:F221)</f>
        <v>0</v>
      </c>
      <c r="K222" s="13">
        <f>'2_Retornos'!G221</f>
        <v>0</v>
      </c>
      <c r="L222" s="13">
        <f>J222-K222</f>
        <v>0</v>
      </c>
      <c r="M222" s="24">
        <f>M221*(1+J222)</f>
        <v>0</v>
      </c>
      <c r="N222" s="13">
        <f>M222/MAX($M$3:M222)-1</f>
        <v>0</v>
      </c>
      <c r="O222" s="24">
        <f>O221*(1+K222)</f>
        <v>0</v>
      </c>
    </row>
    <row r="223" spans="9:15">
      <c r="I223" s="12">
        <f>'2_Retornos'!A222</f>
        <v>0</v>
      </c>
      <c r="J223" s="13">
        <f>SUMPRODUCT($B$5:$F$5,'2_Retornos'!B222:F222)</f>
        <v>0</v>
      </c>
      <c r="K223" s="13">
        <f>'2_Retornos'!G222</f>
        <v>0</v>
      </c>
      <c r="L223" s="13">
        <f>J223-K223</f>
        <v>0</v>
      </c>
      <c r="M223" s="24">
        <f>M222*(1+J223)</f>
        <v>0</v>
      </c>
      <c r="N223" s="13">
        <f>M223/MAX($M$3:M223)-1</f>
        <v>0</v>
      </c>
      <c r="O223" s="24">
        <f>O222*(1+K223)</f>
        <v>0</v>
      </c>
    </row>
    <row r="224" spans="9:15">
      <c r="I224" s="12">
        <f>'2_Retornos'!A223</f>
        <v>0</v>
      </c>
      <c r="J224" s="13">
        <f>SUMPRODUCT($B$5:$F$5,'2_Retornos'!B223:F223)</f>
        <v>0</v>
      </c>
      <c r="K224" s="13">
        <f>'2_Retornos'!G223</f>
        <v>0</v>
      </c>
      <c r="L224" s="13">
        <f>J224-K224</f>
        <v>0</v>
      </c>
      <c r="M224" s="24">
        <f>M223*(1+J224)</f>
        <v>0</v>
      </c>
      <c r="N224" s="13">
        <f>M224/MAX($M$3:M224)-1</f>
        <v>0</v>
      </c>
      <c r="O224" s="24">
        <f>O223*(1+K224)</f>
        <v>0</v>
      </c>
    </row>
    <row r="225" spans="9:15">
      <c r="I225" s="12">
        <f>'2_Retornos'!A224</f>
        <v>0</v>
      </c>
      <c r="J225" s="13">
        <f>SUMPRODUCT($B$5:$F$5,'2_Retornos'!B224:F224)</f>
        <v>0</v>
      </c>
      <c r="K225" s="13">
        <f>'2_Retornos'!G224</f>
        <v>0</v>
      </c>
      <c r="L225" s="13">
        <f>J225-K225</f>
        <v>0</v>
      </c>
      <c r="M225" s="24">
        <f>M224*(1+J225)</f>
        <v>0</v>
      </c>
      <c r="N225" s="13">
        <f>M225/MAX($M$3:M225)-1</f>
        <v>0</v>
      </c>
      <c r="O225" s="24">
        <f>O224*(1+K225)</f>
        <v>0</v>
      </c>
    </row>
    <row r="226" spans="9:15">
      <c r="I226" s="12">
        <f>'2_Retornos'!A225</f>
        <v>0</v>
      </c>
      <c r="J226" s="13">
        <f>SUMPRODUCT($B$5:$F$5,'2_Retornos'!B225:F225)</f>
        <v>0</v>
      </c>
      <c r="K226" s="13">
        <f>'2_Retornos'!G225</f>
        <v>0</v>
      </c>
      <c r="L226" s="13">
        <f>J226-K226</f>
        <v>0</v>
      </c>
      <c r="M226" s="24">
        <f>M225*(1+J226)</f>
        <v>0</v>
      </c>
      <c r="N226" s="13">
        <f>M226/MAX($M$3:M226)-1</f>
        <v>0</v>
      </c>
      <c r="O226" s="24">
        <f>O225*(1+K226)</f>
        <v>0</v>
      </c>
    </row>
    <row r="227" spans="9:15">
      <c r="I227" s="12">
        <f>'2_Retornos'!A226</f>
        <v>0</v>
      </c>
      <c r="J227" s="13">
        <f>SUMPRODUCT($B$5:$F$5,'2_Retornos'!B226:F226)</f>
        <v>0</v>
      </c>
      <c r="K227" s="13">
        <f>'2_Retornos'!G226</f>
        <v>0</v>
      </c>
      <c r="L227" s="13">
        <f>J227-K227</f>
        <v>0</v>
      </c>
      <c r="M227" s="24">
        <f>M226*(1+J227)</f>
        <v>0</v>
      </c>
      <c r="N227" s="13">
        <f>M227/MAX($M$3:M227)-1</f>
        <v>0</v>
      </c>
      <c r="O227" s="24">
        <f>O226*(1+K227)</f>
        <v>0</v>
      </c>
    </row>
    <row r="228" spans="9:15">
      <c r="I228" s="12">
        <f>'2_Retornos'!A227</f>
        <v>0</v>
      </c>
      <c r="J228" s="13">
        <f>SUMPRODUCT($B$5:$F$5,'2_Retornos'!B227:F227)</f>
        <v>0</v>
      </c>
      <c r="K228" s="13">
        <f>'2_Retornos'!G227</f>
        <v>0</v>
      </c>
      <c r="L228" s="13">
        <f>J228-K228</f>
        <v>0</v>
      </c>
      <c r="M228" s="24">
        <f>M227*(1+J228)</f>
        <v>0</v>
      </c>
      <c r="N228" s="13">
        <f>M228/MAX($M$3:M228)-1</f>
        <v>0</v>
      </c>
      <c r="O228" s="24">
        <f>O227*(1+K228)</f>
        <v>0</v>
      </c>
    </row>
    <row r="229" spans="9:15">
      <c r="I229" s="12">
        <f>'2_Retornos'!A228</f>
        <v>0</v>
      </c>
      <c r="J229" s="13">
        <f>SUMPRODUCT($B$5:$F$5,'2_Retornos'!B228:F228)</f>
        <v>0</v>
      </c>
      <c r="K229" s="13">
        <f>'2_Retornos'!G228</f>
        <v>0</v>
      </c>
      <c r="L229" s="13">
        <f>J229-K229</f>
        <v>0</v>
      </c>
      <c r="M229" s="24">
        <f>M228*(1+J229)</f>
        <v>0</v>
      </c>
      <c r="N229" s="13">
        <f>M229/MAX($M$3:M229)-1</f>
        <v>0</v>
      </c>
      <c r="O229" s="24">
        <f>O228*(1+K229)</f>
        <v>0</v>
      </c>
    </row>
    <row r="230" spans="9:15">
      <c r="I230" s="12">
        <f>'2_Retornos'!A229</f>
        <v>0</v>
      </c>
      <c r="J230" s="13">
        <f>SUMPRODUCT($B$5:$F$5,'2_Retornos'!B229:F229)</f>
        <v>0</v>
      </c>
      <c r="K230" s="13">
        <f>'2_Retornos'!G229</f>
        <v>0</v>
      </c>
      <c r="L230" s="13">
        <f>J230-K230</f>
        <v>0</v>
      </c>
      <c r="M230" s="24">
        <f>M229*(1+J230)</f>
        <v>0</v>
      </c>
      <c r="N230" s="13">
        <f>M230/MAX($M$3:M230)-1</f>
        <v>0</v>
      </c>
      <c r="O230" s="24">
        <f>O229*(1+K230)</f>
        <v>0</v>
      </c>
    </row>
    <row r="231" spans="9:15">
      <c r="I231" s="12">
        <f>'2_Retornos'!A230</f>
        <v>0</v>
      </c>
      <c r="J231" s="13">
        <f>SUMPRODUCT($B$5:$F$5,'2_Retornos'!B230:F230)</f>
        <v>0</v>
      </c>
      <c r="K231" s="13">
        <f>'2_Retornos'!G230</f>
        <v>0</v>
      </c>
      <c r="L231" s="13">
        <f>J231-K231</f>
        <v>0</v>
      </c>
      <c r="M231" s="24">
        <f>M230*(1+J231)</f>
        <v>0</v>
      </c>
      <c r="N231" s="13">
        <f>M231/MAX($M$3:M231)-1</f>
        <v>0</v>
      </c>
      <c r="O231" s="24">
        <f>O230*(1+K231)</f>
        <v>0</v>
      </c>
    </row>
    <row r="232" spans="9:15">
      <c r="I232" s="12">
        <f>'2_Retornos'!A231</f>
        <v>0</v>
      </c>
      <c r="J232" s="13">
        <f>SUMPRODUCT($B$5:$F$5,'2_Retornos'!B231:F231)</f>
        <v>0</v>
      </c>
      <c r="K232" s="13">
        <f>'2_Retornos'!G231</f>
        <v>0</v>
      </c>
      <c r="L232" s="13">
        <f>J232-K232</f>
        <v>0</v>
      </c>
      <c r="M232" s="24">
        <f>M231*(1+J232)</f>
        <v>0</v>
      </c>
      <c r="N232" s="13">
        <f>M232/MAX($M$3:M232)-1</f>
        <v>0</v>
      </c>
      <c r="O232" s="24">
        <f>O231*(1+K232)</f>
        <v>0</v>
      </c>
    </row>
    <row r="233" spans="9:15">
      <c r="I233" s="12">
        <f>'2_Retornos'!A232</f>
        <v>0</v>
      </c>
      <c r="J233" s="13">
        <f>SUMPRODUCT($B$5:$F$5,'2_Retornos'!B232:F232)</f>
        <v>0</v>
      </c>
      <c r="K233" s="13">
        <f>'2_Retornos'!G232</f>
        <v>0</v>
      </c>
      <c r="L233" s="13">
        <f>J233-K233</f>
        <v>0</v>
      </c>
      <c r="M233" s="24">
        <f>M232*(1+J233)</f>
        <v>0</v>
      </c>
      <c r="N233" s="13">
        <f>M233/MAX($M$3:M233)-1</f>
        <v>0</v>
      </c>
      <c r="O233" s="24">
        <f>O232*(1+K233)</f>
        <v>0</v>
      </c>
    </row>
    <row r="234" spans="9:15">
      <c r="I234" s="12">
        <f>'2_Retornos'!A233</f>
        <v>0</v>
      </c>
      <c r="J234" s="13">
        <f>SUMPRODUCT($B$5:$F$5,'2_Retornos'!B233:F233)</f>
        <v>0</v>
      </c>
      <c r="K234" s="13">
        <f>'2_Retornos'!G233</f>
        <v>0</v>
      </c>
      <c r="L234" s="13">
        <f>J234-K234</f>
        <v>0</v>
      </c>
      <c r="M234" s="24">
        <f>M233*(1+J234)</f>
        <v>0</v>
      </c>
      <c r="N234" s="13">
        <f>M234/MAX($M$3:M234)-1</f>
        <v>0</v>
      </c>
      <c r="O234" s="24">
        <f>O233*(1+K234)</f>
        <v>0</v>
      </c>
    </row>
    <row r="235" spans="9:15">
      <c r="I235" s="12">
        <f>'2_Retornos'!A234</f>
        <v>0</v>
      </c>
      <c r="J235" s="13">
        <f>SUMPRODUCT($B$5:$F$5,'2_Retornos'!B234:F234)</f>
        <v>0</v>
      </c>
      <c r="K235" s="13">
        <f>'2_Retornos'!G234</f>
        <v>0</v>
      </c>
      <c r="L235" s="13">
        <f>J235-K235</f>
        <v>0</v>
      </c>
      <c r="M235" s="24">
        <f>M234*(1+J235)</f>
        <v>0</v>
      </c>
      <c r="N235" s="13">
        <f>M235/MAX($M$3:M235)-1</f>
        <v>0</v>
      </c>
      <c r="O235" s="24">
        <f>O234*(1+K235)</f>
        <v>0</v>
      </c>
    </row>
    <row r="236" spans="9:15">
      <c r="I236" s="12">
        <f>'2_Retornos'!A235</f>
        <v>0</v>
      </c>
      <c r="J236" s="13">
        <f>SUMPRODUCT($B$5:$F$5,'2_Retornos'!B235:F235)</f>
        <v>0</v>
      </c>
      <c r="K236" s="13">
        <f>'2_Retornos'!G235</f>
        <v>0</v>
      </c>
      <c r="L236" s="13">
        <f>J236-K236</f>
        <v>0</v>
      </c>
      <c r="M236" s="24">
        <f>M235*(1+J236)</f>
        <v>0</v>
      </c>
      <c r="N236" s="13">
        <f>M236/MAX($M$3:M236)-1</f>
        <v>0</v>
      </c>
      <c r="O236" s="24">
        <f>O235*(1+K236)</f>
        <v>0</v>
      </c>
    </row>
    <row r="237" spans="9:15">
      <c r="I237" s="12">
        <f>'2_Retornos'!A236</f>
        <v>0</v>
      </c>
      <c r="J237" s="13">
        <f>SUMPRODUCT($B$5:$F$5,'2_Retornos'!B236:F236)</f>
        <v>0</v>
      </c>
      <c r="K237" s="13">
        <f>'2_Retornos'!G236</f>
        <v>0</v>
      </c>
      <c r="L237" s="13">
        <f>J237-K237</f>
        <v>0</v>
      </c>
      <c r="M237" s="24">
        <f>M236*(1+J237)</f>
        <v>0</v>
      </c>
      <c r="N237" s="13">
        <f>M237/MAX($M$3:M237)-1</f>
        <v>0</v>
      </c>
      <c r="O237" s="24">
        <f>O236*(1+K237)</f>
        <v>0</v>
      </c>
    </row>
    <row r="238" spans="9:15">
      <c r="I238" s="12">
        <f>'2_Retornos'!A237</f>
        <v>0</v>
      </c>
      <c r="J238" s="13">
        <f>SUMPRODUCT($B$5:$F$5,'2_Retornos'!B237:F237)</f>
        <v>0</v>
      </c>
      <c r="K238" s="13">
        <f>'2_Retornos'!G237</f>
        <v>0</v>
      </c>
      <c r="L238" s="13">
        <f>J238-K238</f>
        <v>0</v>
      </c>
      <c r="M238" s="24">
        <f>M237*(1+J238)</f>
        <v>0</v>
      </c>
      <c r="N238" s="13">
        <f>M238/MAX($M$3:M238)-1</f>
        <v>0</v>
      </c>
      <c r="O238" s="24">
        <f>O237*(1+K238)</f>
        <v>0</v>
      </c>
    </row>
    <row r="239" spans="9:15">
      <c r="I239" s="12">
        <f>'2_Retornos'!A238</f>
        <v>0</v>
      </c>
      <c r="J239" s="13">
        <f>SUMPRODUCT($B$5:$F$5,'2_Retornos'!B238:F238)</f>
        <v>0</v>
      </c>
      <c r="K239" s="13">
        <f>'2_Retornos'!G238</f>
        <v>0</v>
      </c>
      <c r="L239" s="13">
        <f>J239-K239</f>
        <v>0</v>
      </c>
      <c r="M239" s="24">
        <f>M238*(1+J239)</f>
        <v>0</v>
      </c>
      <c r="N239" s="13">
        <f>M239/MAX($M$3:M239)-1</f>
        <v>0</v>
      </c>
      <c r="O239" s="24">
        <f>O238*(1+K239)</f>
        <v>0</v>
      </c>
    </row>
    <row r="240" spans="9:15">
      <c r="I240" s="12">
        <f>'2_Retornos'!A239</f>
        <v>0</v>
      </c>
      <c r="J240" s="13">
        <f>SUMPRODUCT($B$5:$F$5,'2_Retornos'!B239:F239)</f>
        <v>0</v>
      </c>
      <c r="K240" s="13">
        <f>'2_Retornos'!G239</f>
        <v>0</v>
      </c>
      <c r="L240" s="13">
        <f>J240-K240</f>
        <v>0</v>
      </c>
      <c r="M240" s="24">
        <f>M239*(1+J240)</f>
        <v>0</v>
      </c>
      <c r="N240" s="13">
        <f>M240/MAX($M$3:M240)-1</f>
        <v>0</v>
      </c>
      <c r="O240" s="24">
        <f>O239*(1+K240)</f>
        <v>0</v>
      </c>
    </row>
    <row r="241" spans="9:15">
      <c r="I241" s="12">
        <f>'2_Retornos'!A240</f>
        <v>0</v>
      </c>
      <c r="J241" s="13">
        <f>SUMPRODUCT($B$5:$F$5,'2_Retornos'!B240:F240)</f>
        <v>0</v>
      </c>
      <c r="K241" s="13">
        <f>'2_Retornos'!G240</f>
        <v>0</v>
      </c>
      <c r="L241" s="13">
        <f>J241-K241</f>
        <v>0</v>
      </c>
      <c r="M241" s="24">
        <f>M240*(1+J241)</f>
        <v>0</v>
      </c>
      <c r="N241" s="13">
        <f>M241/MAX($M$3:M241)-1</f>
        <v>0</v>
      </c>
      <c r="O241" s="24">
        <f>O240*(1+K241)</f>
        <v>0</v>
      </c>
    </row>
    <row r="242" spans="9:15">
      <c r="I242" s="12">
        <f>'2_Retornos'!A241</f>
        <v>0</v>
      </c>
      <c r="J242" s="13">
        <f>SUMPRODUCT($B$5:$F$5,'2_Retornos'!B241:F241)</f>
        <v>0</v>
      </c>
      <c r="K242" s="13">
        <f>'2_Retornos'!G241</f>
        <v>0</v>
      </c>
      <c r="L242" s="13">
        <f>J242-K242</f>
        <v>0</v>
      </c>
      <c r="M242" s="24">
        <f>M241*(1+J242)</f>
        <v>0</v>
      </c>
      <c r="N242" s="13">
        <f>M242/MAX($M$3:M242)-1</f>
        <v>0</v>
      </c>
      <c r="O242" s="24">
        <f>O241*(1+K242)</f>
        <v>0</v>
      </c>
    </row>
    <row r="243" spans="9:15">
      <c r="I243" s="12">
        <f>'2_Retornos'!A242</f>
        <v>0</v>
      </c>
      <c r="J243" s="13">
        <f>SUMPRODUCT($B$5:$F$5,'2_Retornos'!B242:F242)</f>
        <v>0</v>
      </c>
      <c r="K243" s="13">
        <f>'2_Retornos'!G242</f>
        <v>0</v>
      </c>
      <c r="L243" s="13">
        <f>J243-K243</f>
        <v>0</v>
      </c>
      <c r="M243" s="24">
        <f>M242*(1+J243)</f>
        <v>0</v>
      </c>
      <c r="N243" s="13">
        <f>M243/MAX($M$3:M243)-1</f>
        <v>0</v>
      </c>
      <c r="O243" s="24">
        <f>O242*(1+K243)</f>
        <v>0</v>
      </c>
    </row>
    <row r="244" spans="9:15">
      <c r="I244" s="12">
        <f>'2_Retornos'!A243</f>
        <v>0</v>
      </c>
      <c r="J244" s="13">
        <f>SUMPRODUCT($B$5:$F$5,'2_Retornos'!B243:F243)</f>
        <v>0</v>
      </c>
      <c r="K244" s="13">
        <f>'2_Retornos'!G243</f>
        <v>0</v>
      </c>
      <c r="L244" s="13">
        <f>J244-K244</f>
        <v>0</v>
      </c>
      <c r="M244" s="24">
        <f>M243*(1+J244)</f>
        <v>0</v>
      </c>
      <c r="N244" s="13">
        <f>M244/MAX($M$3:M244)-1</f>
        <v>0</v>
      </c>
      <c r="O244" s="24">
        <f>O243*(1+K244)</f>
        <v>0</v>
      </c>
    </row>
    <row r="245" spans="9:15">
      <c r="I245" s="12">
        <f>'2_Retornos'!A244</f>
        <v>0</v>
      </c>
      <c r="J245" s="13">
        <f>SUMPRODUCT($B$5:$F$5,'2_Retornos'!B244:F244)</f>
        <v>0</v>
      </c>
      <c r="K245" s="13">
        <f>'2_Retornos'!G244</f>
        <v>0</v>
      </c>
      <c r="L245" s="13">
        <f>J245-K245</f>
        <v>0</v>
      </c>
      <c r="M245" s="24">
        <f>M244*(1+J245)</f>
        <v>0</v>
      </c>
      <c r="N245" s="13">
        <f>M245/MAX($M$3:M245)-1</f>
        <v>0</v>
      </c>
      <c r="O245" s="24">
        <f>O244*(1+K245)</f>
        <v>0</v>
      </c>
    </row>
    <row r="246" spans="9:15">
      <c r="I246" s="12">
        <f>'2_Retornos'!A245</f>
        <v>0</v>
      </c>
      <c r="J246" s="13">
        <f>SUMPRODUCT($B$5:$F$5,'2_Retornos'!B245:F245)</f>
        <v>0</v>
      </c>
      <c r="K246" s="13">
        <f>'2_Retornos'!G245</f>
        <v>0</v>
      </c>
      <c r="L246" s="13">
        <f>J246-K246</f>
        <v>0</v>
      </c>
      <c r="M246" s="24">
        <f>M245*(1+J246)</f>
        <v>0</v>
      </c>
      <c r="N246" s="13">
        <f>M246/MAX($M$3:M246)-1</f>
        <v>0</v>
      </c>
      <c r="O246" s="24">
        <f>O245*(1+K246)</f>
        <v>0</v>
      </c>
    </row>
    <row r="247" spans="9:15">
      <c r="I247" s="12">
        <f>'2_Retornos'!A246</f>
        <v>0</v>
      </c>
      <c r="J247" s="13">
        <f>SUMPRODUCT($B$5:$F$5,'2_Retornos'!B246:F246)</f>
        <v>0</v>
      </c>
      <c r="K247" s="13">
        <f>'2_Retornos'!G246</f>
        <v>0</v>
      </c>
      <c r="L247" s="13">
        <f>J247-K247</f>
        <v>0</v>
      </c>
      <c r="M247" s="24">
        <f>M246*(1+J247)</f>
        <v>0</v>
      </c>
      <c r="N247" s="13">
        <f>M247/MAX($M$3:M247)-1</f>
        <v>0</v>
      </c>
      <c r="O247" s="24">
        <f>O246*(1+K247)</f>
        <v>0</v>
      </c>
    </row>
    <row r="248" spans="9:15">
      <c r="I248" s="12">
        <f>'2_Retornos'!A247</f>
        <v>0</v>
      </c>
      <c r="J248" s="13">
        <f>SUMPRODUCT($B$5:$F$5,'2_Retornos'!B247:F247)</f>
        <v>0</v>
      </c>
      <c r="K248" s="13">
        <f>'2_Retornos'!G247</f>
        <v>0</v>
      </c>
      <c r="L248" s="13">
        <f>J248-K248</f>
        <v>0</v>
      </c>
      <c r="M248" s="24">
        <f>M247*(1+J248)</f>
        <v>0</v>
      </c>
      <c r="N248" s="13">
        <f>M248/MAX($M$3:M248)-1</f>
        <v>0</v>
      </c>
      <c r="O248" s="24">
        <f>O247*(1+K248)</f>
        <v>0</v>
      </c>
    </row>
    <row r="249" spans="9:15">
      <c r="I249" s="12">
        <f>'2_Retornos'!A248</f>
        <v>0</v>
      </c>
      <c r="J249" s="13">
        <f>SUMPRODUCT($B$5:$F$5,'2_Retornos'!B248:F248)</f>
        <v>0</v>
      </c>
      <c r="K249" s="13">
        <f>'2_Retornos'!G248</f>
        <v>0</v>
      </c>
      <c r="L249" s="13">
        <f>J249-K249</f>
        <v>0</v>
      </c>
      <c r="M249" s="24">
        <f>M248*(1+J249)</f>
        <v>0</v>
      </c>
      <c r="N249" s="13">
        <f>M249/MAX($M$3:M249)-1</f>
        <v>0</v>
      </c>
      <c r="O249" s="24">
        <f>O248*(1+K249)</f>
        <v>0</v>
      </c>
    </row>
    <row r="250" spans="9:15">
      <c r="I250" s="12">
        <f>'2_Retornos'!A249</f>
        <v>0</v>
      </c>
      <c r="J250" s="13">
        <f>SUMPRODUCT($B$5:$F$5,'2_Retornos'!B249:F249)</f>
        <v>0</v>
      </c>
      <c r="K250" s="13">
        <f>'2_Retornos'!G249</f>
        <v>0</v>
      </c>
      <c r="L250" s="13">
        <f>J250-K250</f>
        <v>0</v>
      </c>
      <c r="M250" s="24">
        <f>M249*(1+J250)</f>
        <v>0</v>
      </c>
      <c r="N250" s="13">
        <f>M250/MAX($M$3:M250)-1</f>
        <v>0</v>
      </c>
      <c r="O250" s="24">
        <f>O249*(1+K250)</f>
        <v>0</v>
      </c>
    </row>
    <row r="251" spans="9:15">
      <c r="I251" s="12">
        <f>'2_Retornos'!A250</f>
        <v>0</v>
      </c>
      <c r="J251" s="13">
        <f>SUMPRODUCT($B$5:$F$5,'2_Retornos'!B250:F250)</f>
        <v>0</v>
      </c>
      <c r="K251" s="13">
        <f>'2_Retornos'!G250</f>
        <v>0</v>
      </c>
      <c r="L251" s="13">
        <f>J251-K251</f>
        <v>0</v>
      </c>
      <c r="M251" s="24">
        <f>M250*(1+J251)</f>
        <v>0</v>
      </c>
      <c r="N251" s="13">
        <f>M251/MAX($M$3:M251)-1</f>
        <v>0</v>
      </c>
      <c r="O251" s="24">
        <f>O250*(1+K251)</f>
        <v>0</v>
      </c>
    </row>
    <row r="252" spans="9:15">
      <c r="I252" s="12">
        <f>'2_Retornos'!A251</f>
        <v>0</v>
      </c>
      <c r="J252" s="13">
        <f>SUMPRODUCT($B$5:$F$5,'2_Retornos'!B251:F251)</f>
        <v>0</v>
      </c>
      <c r="K252" s="13">
        <f>'2_Retornos'!G251</f>
        <v>0</v>
      </c>
      <c r="L252" s="13">
        <f>J252-K252</f>
        <v>0</v>
      </c>
      <c r="M252" s="24">
        <f>M251*(1+J252)</f>
        <v>0</v>
      </c>
      <c r="N252" s="13">
        <f>M252/MAX($M$3:M252)-1</f>
        <v>0</v>
      </c>
      <c r="O252" s="24">
        <f>O251*(1+K252)</f>
        <v>0</v>
      </c>
    </row>
    <row r="253" spans="9:15">
      <c r="I253" s="12">
        <f>'2_Retornos'!A252</f>
        <v>0</v>
      </c>
      <c r="J253" s="13">
        <f>SUMPRODUCT($B$5:$F$5,'2_Retornos'!B252:F252)</f>
        <v>0</v>
      </c>
      <c r="K253" s="13">
        <f>'2_Retornos'!G252</f>
        <v>0</v>
      </c>
      <c r="L253" s="13">
        <f>J253-K253</f>
        <v>0</v>
      </c>
      <c r="M253" s="24">
        <f>M252*(1+J253)</f>
        <v>0</v>
      </c>
      <c r="N253" s="13">
        <f>M253/MAX($M$3:M253)-1</f>
        <v>0</v>
      </c>
      <c r="O253" s="24">
        <f>O252*(1+K253)</f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36.7109375" customWidth="1"/>
    <col min="2" max="6" width="13.7109375" customWidth="1"/>
  </cols>
  <sheetData>
    <row r="1" spans="1:6">
      <c r="A1" s="1" t="s">
        <v>129</v>
      </c>
    </row>
    <row r="3" spans="1:6">
      <c r="A3" s="14" t="s">
        <v>53</v>
      </c>
      <c r="B3" s="13">
        <f>'2_Retornos'!J2</f>
        <v>0</v>
      </c>
    </row>
    <row r="4" spans="1:6">
      <c r="A4" s="14" t="s">
        <v>130</v>
      </c>
      <c r="B4" s="15">
        <v>0.0533</v>
      </c>
      <c r="C4" s="16" t="s">
        <v>131</v>
      </c>
    </row>
    <row r="7" spans="1:6">
      <c r="A7" s="7" t="s">
        <v>132</v>
      </c>
      <c r="B7" s="7" t="s">
        <v>45</v>
      </c>
      <c r="C7" s="7" t="s">
        <v>46</v>
      </c>
      <c r="D7" s="7" t="s">
        <v>47</v>
      </c>
      <c r="E7" s="7" t="s">
        <v>48</v>
      </c>
      <c r="F7" s="7" t="s">
        <v>49</v>
      </c>
    </row>
    <row r="8" spans="1:6">
      <c r="A8" s="14" t="s">
        <v>133</v>
      </c>
      <c r="B8" s="19">
        <f>SLOPE('2_Retornos'!B$2:B$252,'2_Retornos'!$G$2:$G$252)</f>
        <v>0</v>
      </c>
      <c r="C8" s="19">
        <f>SLOPE('2_Retornos'!C$2:C$252,'2_Retornos'!$G$2:$G$252)</f>
        <v>0</v>
      </c>
      <c r="D8" s="19">
        <f>SLOPE('2_Retornos'!D$2:D$252,'2_Retornos'!$G$2:$G$252)</f>
        <v>0</v>
      </c>
      <c r="E8" s="19">
        <f>SLOPE('2_Retornos'!E$2:E$252,'2_Retornos'!$G$2:$G$252)</f>
        <v>0</v>
      </c>
      <c r="F8" s="19">
        <f>SLOPE('2_Retornos'!F$2:F$252,'2_Retornos'!$G$2:$G$252)</f>
        <v>0</v>
      </c>
    </row>
    <row r="9" spans="1:6">
      <c r="A9" s="14" t="s">
        <v>134</v>
      </c>
      <c r="B9" s="13">
        <f>RSQ('2_Retornos'!B$2:B$252,'2_Retornos'!$G$2:$G$252)</f>
        <v>0</v>
      </c>
      <c r="C9" s="13">
        <f>RSQ('2_Retornos'!C$2:C$252,'2_Retornos'!$G$2:$G$252)</f>
        <v>0</v>
      </c>
      <c r="D9" s="13">
        <f>RSQ('2_Retornos'!D$2:D$252,'2_Retornos'!$G$2:$G$252)</f>
        <v>0</v>
      </c>
      <c r="E9" s="13">
        <f>RSQ('2_Retornos'!E$2:E$252,'2_Retornos'!$G$2:$G$252)</f>
        <v>0</v>
      </c>
      <c r="F9" s="13">
        <f>RSQ('2_Retornos'!F$2:F$252,'2_Retornos'!$G$2:$G$252)</f>
        <v>0</v>
      </c>
    </row>
    <row r="10" spans="1:6">
      <c r="A10" s="14" t="s">
        <v>135</v>
      </c>
      <c r="B10" s="13">
        <f>1-B9</f>
        <v>0</v>
      </c>
      <c r="C10" s="13">
        <f>1-C9</f>
        <v>0</v>
      </c>
      <c r="D10" s="13">
        <f>1-D9</f>
        <v>0</v>
      </c>
      <c r="E10" s="13">
        <f>1-E9</f>
        <v>0</v>
      </c>
      <c r="F10" s="13">
        <f>1-F9</f>
        <v>0</v>
      </c>
    </row>
    <row r="11" spans="1:6">
      <c r="A11" s="14" t="s">
        <v>136</v>
      </c>
      <c r="B11" s="25">
        <f>INTERCEPT('2_Retornos'!B$2:B$252,'2_Retornos'!$G$2:$G$252)</f>
        <v>0</v>
      </c>
      <c r="C11" s="25">
        <f>INTERCEPT('2_Retornos'!C$2:C$252,'2_Retornos'!$G$2:$G$252)</f>
        <v>0</v>
      </c>
      <c r="D11" s="25">
        <f>INTERCEPT('2_Retornos'!D$2:D$252,'2_Retornos'!$G$2:$G$252)</f>
        <v>0</v>
      </c>
      <c r="E11" s="25">
        <f>INTERCEPT('2_Retornos'!E$2:E$252,'2_Retornos'!$G$2:$G$252)</f>
        <v>0</v>
      </c>
      <c r="F11" s="25">
        <f>INTERCEPT('2_Retornos'!F$2:F$252,'2_Retornos'!$G$2:$G$252)</f>
        <v>0</v>
      </c>
    </row>
    <row r="12" spans="1:6">
      <c r="A12" s="14" t="s">
        <v>137</v>
      </c>
      <c r="B12" s="18">
        <f>$B$3+B8*$B$4</f>
        <v>0</v>
      </c>
      <c r="C12" s="18">
        <f>$B$3+C8*$B$4</f>
        <v>0</v>
      </c>
      <c r="D12" s="18">
        <f>$B$3+D8*$B$4</f>
        <v>0</v>
      </c>
      <c r="E12" s="18">
        <f>$B$3+E8*$B$4</f>
        <v>0</v>
      </c>
      <c r="F12" s="18">
        <f>$B$3+F8*$B$4</f>
        <v>0</v>
      </c>
    </row>
    <row r="13" spans="1:6">
      <c r="A13" s="14" t="s">
        <v>138</v>
      </c>
      <c r="B13" s="13">
        <f>'2_Retornos'!J7</f>
        <v>0</v>
      </c>
      <c r="C13" s="13">
        <f>'2_Retornos'!K7</f>
        <v>0</v>
      </c>
      <c r="D13" s="13">
        <f>'2_Retornos'!L7</f>
        <v>0</v>
      </c>
      <c r="E13" s="13">
        <f>'2_Retornos'!M7</f>
        <v>0</v>
      </c>
      <c r="F13" s="13">
        <f>'2_Retornos'!N7</f>
        <v>0</v>
      </c>
    </row>
    <row r="14" spans="1:6">
      <c r="A14" s="14" t="s">
        <v>139</v>
      </c>
      <c r="B14" s="13">
        <f>B13-B12</f>
        <v>0</v>
      </c>
      <c r="C14" s="13">
        <f>C13-C12</f>
        <v>0</v>
      </c>
      <c r="D14" s="13">
        <f>D13-D12</f>
        <v>0</v>
      </c>
      <c r="E14" s="13">
        <f>E13-E12</f>
        <v>0</v>
      </c>
      <c r="F14" s="13">
        <f>F13-F12</f>
        <v>0</v>
      </c>
    </row>
    <row r="16" spans="1:6" ht="30" customHeight="1">
      <c r="A16" s="16" t="s">
        <v>140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55"/>
  <sheetViews>
    <sheetView workbookViewId="0"/>
  </sheetViews>
  <sheetFormatPr defaultRowHeight="15"/>
  <cols>
    <col min="1" max="4" width="12.7109375" customWidth="1"/>
    <col min="5" max="5" width="22.7109375" customWidth="1"/>
    <col min="6" max="6" width="26.7109375" customWidth="1"/>
    <col min="7" max="10" width="12.7109375" customWidth="1"/>
  </cols>
  <sheetData>
    <row r="1" spans="1:10">
      <c r="A1" s="3" t="s">
        <v>141</v>
      </c>
      <c r="B1" s="4" t="s">
        <v>47</v>
      </c>
      <c r="C1" s="16" t="s">
        <v>142</v>
      </c>
      <c r="E1" s="3" t="s">
        <v>143</v>
      </c>
      <c r="F1" s="5">
        <f>IFERROR(LOOKUP(2,1/(E4:E255&lt;&gt;""),E4:E255),"sin senal")</f>
        <v>0</v>
      </c>
      <c r="H1" s="5">
        <f>"RSI actual: "&amp;TEXT(H255,"0.0")&amp;IF(H255&gt;70," (sobrecompra)",IF(H255&lt;30," (sobreventa)",""))</f>
        <v>0</v>
      </c>
    </row>
    <row r="3" spans="1:10">
      <c r="A3" s="7" t="s">
        <v>44</v>
      </c>
      <c r="B3" s="7" t="s">
        <v>144</v>
      </c>
      <c r="C3" s="7" t="s">
        <v>145</v>
      </c>
      <c r="D3" s="7" t="s">
        <v>146</v>
      </c>
      <c r="E3" s="7" t="s">
        <v>147</v>
      </c>
      <c r="F3" s="7" t="s">
        <v>148</v>
      </c>
      <c r="G3" s="7" t="s">
        <v>149</v>
      </c>
      <c r="H3" s="7" t="s">
        <v>150</v>
      </c>
      <c r="I3" s="7" t="s">
        <v>151</v>
      </c>
      <c r="J3" s="7" t="s">
        <v>152</v>
      </c>
    </row>
    <row r="4" spans="1:10">
      <c r="A4" s="12">
        <f>'1_Precios'!A2</f>
        <v>0</v>
      </c>
      <c r="B4" s="24">
        <f>INDEX('1_Precios'!$B$2:$F$2,MATCH($B$1,'1_Precios'!$B$1:$F$1,0))</f>
        <v>0</v>
      </c>
    </row>
    <row r="5" spans="1:10">
      <c r="A5" s="12">
        <f>'1_Precios'!A3</f>
        <v>0</v>
      </c>
      <c r="B5" s="24">
        <f>INDEX('1_Precios'!$B$3:$F$3,MATCH($B$1,'1_Precios'!$B$1:$F$1,0))</f>
        <v>0</v>
      </c>
      <c r="F5" s="24">
        <f>MAX(B5-B4,0)</f>
        <v>0</v>
      </c>
      <c r="G5" s="24">
        <f>MAX(B4-B5,0)</f>
        <v>0</v>
      </c>
    </row>
    <row r="6" spans="1:10">
      <c r="A6" s="12">
        <f>'1_Precios'!A4</f>
        <v>0</v>
      </c>
      <c r="B6" s="24">
        <f>INDEX('1_Precios'!$B$4:$F$4,MATCH($B$1,'1_Precios'!$B$1:$F$1,0))</f>
        <v>0</v>
      </c>
      <c r="F6" s="24">
        <f>MAX(B6-B5,0)</f>
        <v>0</v>
      </c>
      <c r="G6" s="24">
        <f>MAX(B5-B6,0)</f>
        <v>0</v>
      </c>
    </row>
    <row r="7" spans="1:10">
      <c r="A7" s="12">
        <f>'1_Precios'!A5</f>
        <v>0</v>
      </c>
      <c r="B7" s="24">
        <f>INDEX('1_Precios'!$B$5:$F$5,MATCH($B$1,'1_Precios'!$B$1:$F$1,0))</f>
        <v>0</v>
      </c>
      <c r="F7" s="24">
        <f>MAX(B7-B6,0)</f>
        <v>0</v>
      </c>
      <c r="G7" s="24">
        <f>MAX(B6-B7,0)</f>
        <v>0</v>
      </c>
    </row>
    <row r="8" spans="1:10">
      <c r="A8" s="12">
        <f>'1_Precios'!A6</f>
        <v>0</v>
      </c>
      <c r="B8" s="24">
        <f>INDEX('1_Precios'!$B$6:$F$6,MATCH($B$1,'1_Precios'!$B$1:$F$1,0))</f>
        <v>0</v>
      </c>
      <c r="F8" s="24">
        <f>MAX(B8-B7,0)</f>
        <v>0</v>
      </c>
      <c r="G8" s="24">
        <f>MAX(B7-B8,0)</f>
        <v>0</v>
      </c>
    </row>
    <row r="9" spans="1:10">
      <c r="A9" s="12">
        <f>'1_Precios'!A7</f>
        <v>0</v>
      </c>
      <c r="B9" s="24">
        <f>INDEX('1_Precios'!$B$7:$F$7,MATCH($B$1,'1_Precios'!$B$1:$F$1,0))</f>
        <v>0</v>
      </c>
      <c r="F9" s="24">
        <f>MAX(B9-B8,0)</f>
        <v>0</v>
      </c>
      <c r="G9" s="24">
        <f>MAX(B8-B9,0)</f>
        <v>0</v>
      </c>
    </row>
    <row r="10" spans="1:10">
      <c r="A10" s="12">
        <f>'1_Precios'!A8</f>
        <v>0</v>
      </c>
      <c r="B10" s="24">
        <f>INDEX('1_Precios'!$B$8:$F$8,MATCH($B$1,'1_Precios'!$B$1:$F$1,0))</f>
        <v>0</v>
      </c>
      <c r="F10" s="24">
        <f>MAX(B10-B9,0)</f>
        <v>0</v>
      </c>
      <c r="G10" s="24">
        <f>MAX(B9-B10,0)</f>
        <v>0</v>
      </c>
    </row>
    <row r="11" spans="1:10">
      <c r="A11" s="12">
        <f>'1_Precios'!A9</f>
        <v>0</v>
      </c>
      <c r="B11" s="24">
        <f>INDEX('1_Precios'!$B$9:$F$9,MATCH($B$1,'1_Precios'!$B$1:$F$1,0))</f>
        <v>0</v>
      </c>
      <c r="F11" s="24">
        <f>MAX(B11-B10,0)</f>
        <v>0</v>
      </c>
      <c r="G11" s="24">
        <f>MAX(B10-B11,0)</f>
        <v>0</v>
      </c>
    </row>
    <row r="12" spans="1:10">
      <c r="A12" s="12">
        <f>'1_Precios'!A10</f>
        <v>0</v>
      </c>
      <c r="B12" s="24">
        <f>INDEX('1_Precios'!$B$10:$F$10,MATCH($B$1,'1_Precios'!$B$1:$F$1,0))</f>
        <v>0</v>
      </c>
      <c r="F12" s="24">
        <f>MAX(B12-B11,0)</f>
        <v>0</v>
      </c>
      <c r="G12" s="24">
        <f>MAX(B11-B12,0)</f>
        <v>0</v>
      </c>
    </row>
    <row r="13" spans="1:10">
      <c r="A13" s="12">
        <f>'1_Precios'!A11</f>
        <v>0</v>
      </c>
      <c r="B13" s="24">
        <f>INDEX('1_Precios'!$B$11:$F$11,MATCH($B$1,'1_Precios'!$B$1:$F$1,0))</f>
        <v>0</v>
      </c>
      <c r="F13" s="24">
        <f>MAX(B13-B12,0)</f>
        <v>0</v>
      </c>
      <c r="G13" s="24">
        <f>MAX(B12-B13,0)</f>
        <v>0</v>
      </c>
    </row>
    <row r="14" spans="1:10">
      <c r="A14" s="12">
        <f>'1_Precios'!A12</f>
        <v>0</v>
      </c>
      <c r="B14" s="24">
        <f>INDEX('1_Precios'!$B$12:$F$12,MATCH($B$1,'1_Precios'!$B$1:$F$1,0))</f>
        <v>0</v>
      </c>
      <c r="F14" s="24">
        <f>MAX(B14-B13,0)</f>
        <v>0</v>
      </c>
      <c r="G14" s="24">
        <f>MAX(B13-B14,0)</f>
        <v>0</v>
      </c>
    </row>
    <row r="15" spans="1:10">
      <c r="A15" s="12">
        <f>'1_Precios'!A13</f>
        <v>0</v>
      </c>
      <c r="B15" s="24">
        <f>INDEX('1_Precios'!$B$13:$F$13,MATCH($B$1,'1_Precios'!$B$1:$F$1,0))</f>
        <v>0</v>
      </c>
      <c r="F15" s="24">
        <f>MAX(B15-B14,0)</f>
        <v>0</v>
      </c>
      <c r="G15" s="24">
        <f>MAX(B14-B15,0)</f>
        <v>0</v>
      </c>
    </row>
    <row r="16" spans="1:10">
      <c r="A16" s="12">
        <f>'1_Precios'!A14</f>
        <v>0</v>
      </c>
      <c r="B16" s="24">
        <f>INDEX('1_Precios'!$B$14:$F$14,MATCH($B$1,'1_Precios'!$B$1:$F$1,0))</f>
        <v>0</v>
      </c>
      <c r="F16" s="24">
        <f>MAX(B16-B15,0)</f>
        <v>0</v>
      </c>
      <c r="G16" s="24">
        <f>MAX(B15-B16,0)</f>
        <v>0</v>
      </c>
    </row>
    <row r="17" spans="1:10">
      <c r="A17" s="12">
        <f>'1_Precios'!A15</f>
        <v>0</v>
      </c>
      <c r="B17" s="24">
        <f>INDEX('1_Precios'!$B$15:$F$15,MATCH($B$1,'1_Precios'!$B$1:$F$1,0))</f>
        <v>0</v>
      </c>
      <c r="F17" s="24">
        <f>MAX(B17-B16,0)</f>
        <v>0</v>
      </c>
      <c r="G17" s="24">
        <f>MAX(B16-B17,0)</f>
        <v>0</v>
      </c>
    </row>
    <row r="18" spans="1:10">
      <c r="A18" s="12">
        <f>'1_Precios'!A16</f>
        <v>0</v>
      </c>
      <c r="B18" s="24">
        <f>INDEX('1_Precios'!$B$16:$F$16,MATCH($B$1,'1_Precios'!$B$1:$F$1,0))</f>
        <v>0</v>
      </c>
      <c r="F18" s="24">
        <f>MAX(B18-B17,0)</f>
        <v>0</v>
      </c>
      <c r="G18" s="24">
        <f>MAX(B17-B18,0)</f>
        <v>0</v>
      </c>
      <c r="H18" s="26">
        <f>IF(SUM(G5:G18)=0,100,100-100/(1+AVERAGE(F5:F18)/AVERAGE(G5:G18)))</f>
        <v>0</v>
      </c>
    </row>
    <row r="19" spans="1:10">
      <c r="A19" s="12">
        <f>'1_Precios'!A17</f>
        <v>0</v>
      </c>
      <c r="B19" s="24">
        <f>INDEX('1_Precios'!$B$17:$F$17,MATCH($B$1,'1_Precios'!$B$1:$F$1,0))</f>
        <v>0</v>
      </c>
      <c r="F19" s="24">
        <f>MAX(B19-B18,0)</f>
        <v>0</v>
      </c>
      <c r="G19" s="24">
        <f>MAX(B18-B19,0)</f>
        <v>0</v>
      </c>
      <c r="H19" s="26">
        <f>IF(SUM(G6:G19)=0,100,100-100/(1+AVERAGE(F6:F19)/AVERAGE(G6:G19)))</f>
        <v>0</v>
      </c>
    </row>
    <row r="20" spans="1:10">
      <c r="A20" s="12">
        <f>'1_Precios'!A18</f>
        <v>0</v>
      </c>
      <c r="B20" s="24">
        <f>INDEX('1_Precios'!$B$18:$F$18,MATCH($B$1,'1_Precios'!$B$1:$F$1,0))</f>
        <v>0</v>
      </c>
      <c r="F20" s="24">
        <f>MAX(B20-B19,0)</f>
        <v>0</v>
      </c>
      <c r="G20" s="24">
        <f>MAX(B19-B20,0)</f>
        <v>0</v>
      </c>
      <c r="H20" s="26">
        <f>IF(SUM(G7:G20)=0,100,100-100/(1+AVERAGE(F7:F20)/AVERAGE(G7:G20)))</f>
        <v>0</v>
      </c>
    </row>
    <row r="21" spans="1:10">
      <c r="A21" s="12">
        <f>'1_Precios'!A19</f>
        <v>0</v>
      </c>
      <c r="B21" s="24">
        <f>INDEX('1_Precios'!$B$19:$F$19,MATCH($B$1,'1_Precios'!$B$1:$F$1,0))</f>
        <v>0</v>
      </c>
      <c r="F21" s="24">
        <f>MAX(B21-B20,0)</f>
        <v>0</v>
      </c>
      <c r="G21" s="24">
        <f>MAX(B20-B21,0)</f>
        <v>0</v>
      </c>
      <c r="H21" s="26">
        <f>IF(SUM(G8:G21)=0,100,100-100/(1+AVERAGE(F8:F21)/AVERAGE(G8:G21)))</f>
        <v>0</v>
      </c>
    </row>
    <row r="22" spans="1:10">
      <c r="A22" s="12">
        <f>'1_Precios'!A20</f>
        <v>0</v>
      </c>
      <c r="B22" s="24">
        <f>INDEX('1_Precios'!$B$20:$F$20,MATCH($B$1,'1_Precios'!$B$1:$F$1,0))</f>
        <v>0</v>
      </c>
      <c r="F22" s="24">
        <f>MAX(B22-B21,0)</f>
        <v>0</v>
      </c>
      <c r="G22" s="24">
        <f>MAX(B21-B22,0)</f>
        <v>0</v>
      </c>
      <c r="H22" s="26">
        <f>IF(SUM(G9:G22)=0,100,100-100/(1+AVERAGE(F9:F22)/AVERAGE(G9:G22)))</f>
        <v>0</v>
      </c>
    </row>
    <row r="23" spans="1:10">
      <c r="A23" s="12">
        <f>'1_Precios'!A21</f>
        <v>0</v>
      </c>
      <c r="B23" s="24">
        <f>INDEX('1_Precios'!$B$21:$F$21,MATCH($B$1,'1_Precios'!$B$1:$F$1,0))</f>
        <v>0</v>
      </c>
      <c r="C23" s="24">
        <f>AVERAGE(B4:B23)</f>
        <v>0</v>
      </c>
      <c r="F23" s="24">
        <f>MAX(B23-B22,0)</f>
        <v>0</v>
      </c>
      <c r="G23" s="24">
        <f>MAX(B22-B23,0)</f>
        <v>0</v>
      </c>
      <c r="H23" s="26">
        <f>IF(SUM(G10:G23)=0,100,100-100/(1+AVERAGE(F10:F23)/AVERAGE(G10:G23)))</f>
        <v>0</v>
      </c>
      <c r="I23" s="24">
        <f>C23+2*_xlfn.STDEV.S(B4:B23)</f>
        <v>0</v>
      </c>
      <c r="J23" s="24">
        <f>C23-2*_xlfn.STDEV.S(B4:B23)</f>
        <v>0</v>
      </c>
    </row>
    <row r="24" spans="1:10">
      <c r="A24" s="12">
        <f>'1_Precios'!A22</f>
        <v>0</v>
      </c>
      <c r="B24" s="24">
        <f>INDEX('1_Precios'!$B$22:$F$22,MATCH($B$1,'1_Precios'!$B$1:$F$1,0))</f>
        <v>0</v>
      </c>
      <c r="C24" s="24">
        <f>AVERAGE(B5:B24)</f>
        <v>0</v>
      </c>
      <c r="F24" s="24">
        <f>MAX(B24-B23,0)</f>
        <v>0</v>
      </c>
      <c r="G24" s="24">
        <f>MAX(B23-B24,0)</f>
        <v>0</v>
      </c>
      <c r="H24" s="26">
        <f>IF(SUM(G11:G24)=0,100,100-100/(1+AVERAGE(F11:F24)/AVERAGE(G11:G24)))</f>
        <v>0</v>
      </c>
      <c r="I24" s="24">
        <f>C24+2*_xlfn.STDEV.S(B5:B24)</f>
        <v>0</v>
      </c>
      <c r="J24" s="24">
        <f>C24-2*_xlfn.STDEV.S(B5:B24)</f>
        <v>0</v>
      </c>
    </row>
    <row r="25" spans="1:10">
      <c r="A25" s="12">
        <f>'1_Precios'!A23</f>
        <v>0</v>
      </c>
      <c r="B25" s="24">
        <f>INDEX('1_Precios'!$B$23:$F$23,MATCH($B$1,'1_Precios'!$B$1:$F$1,0))</f>
        <v>0</v>
      </c>
      <c r="C25" s="24">
        <f>AVERAGE(B6:B25)</f>
        <v>0</v>
      </c>
      <c r="F25" s="24">
        <f>MAX(B25-B24,0)</f>
        <v>0</v>
      </c>
      <c r="G25" s="24">
        <f>MAX(B24-B25,0)</f>
        <v>0</v>
      </c>
      <c r="H25" s="26">
        <f>IF(SUM(G12:G25)=0,100,100-100/(1+AVERAGE(F12:F25)/AVERAGE(G12:G25)))</f>
        <v>0</v>
      </c>
      <c r="I25" s="24">
        <f>C25+2*_xlfn.STDEV.S(B6:B25)</f>
        <v>0</v>
      </c>
      <c r="J25" s="24">
        <f>C25-2*_xlfn.STDEV.S(B6:B25)</f>
        <v>0</v>
      </c>
    </row>
    <row r="26" spans="1:10">
      <c r="A26" s="12">
        <f>'1_Precios'!A24</f>
        <v>0</v>
      </c>
      <c r="B26" s="24">
        <f>INDEX('1_Precios'!$B$24:$F$24,MATCH($B$1,'1_Precios'!$B$1:$F$1,0))</f>
        <v>0</v>
      </c>
      <c r="C26" s="24">
        <f>AVERAGE(B7:B26)</f>
        <v>0</v>
      </c>
      <c r="F26" s="24">
        <f>MAX(B26-B25,0)</f>
        <v>0</v>
      </c>
      <c r="G26" s="24">
        <f>MAX(B25-B26,0)</f>
        <v>0</v>
      </c>
      <c r="H26" s="26">
        <f>IF(SUM(G13:G26)=0,100,100-100/(1+AVERAGE(F13:F26)/AVERAGE(G13:G26)))</f>
        <v>0</v>
      </c>
      <c r="I26" s="24">
        <f>C26+2*_xlfn.STDEV.S(B7:B26)</f>
        <v>0</v>
      </c>
      <c r="J26" s="24">
        <f>C26-2*_xlfn.STDEV.S(B7:B26)</f>
        <v>0</v>
      </c>
    </row>
    <row r="27" spans="1:10">
      <c r="A27" s="12">
        <f>'1_Precios'!A25</f>
        <v>0</v>
      </c>
      <c r="B27" s="24">
        <f>INDEX('1_Precios'!$B$25:$F$25,MATCH($B$1,'1_Precios'!$B$1:$F$1,0))</f>
        <v>0</v>
      </c>
      <c r="C27" s="24">
        <f>AVERAGE(B8:B27)</f>
        <v>0</v>
      </c>
      <c r="F27" s="24">
        <f>MAX(B27-B26,0)</f>
        <v>0</v>
      </c>
      <c r="G27" s="24">
        <f>MAX(B26-B27,0)</f>
        <v>0</v>
      </c>
      <c r="H27" s="26">
        <f>IF(SUM(G14:G27)=0,100,100-100/(1+AVERAGE(F14:F27)/AVERAGE(G14:G27)))</f>
        <v>0</v>
      </c>
      <c r="I27" s="24">
        <f>C27+2*_xlfn.STDEV.S(B8:B27)</f>
        <v>0</v>
      </c>
      <c r="J27" s="24">
        <f>C27-2*_xlfn.STDEV.S(B8:B27)</f>
        <v>0</v>
      </c>
    </row>
    <row r="28" spans="1:10">
      <c r="A28" s="12">
        <f>'1_Precios'!A26</f>
        <v>0</v>
      </c>
      <c r="B28" s="24">
        <f>INDEX('1_Precios'!$B$26:$F$26,MATCH($B$1,'1_Precios'!$B$1:$F$1,0))</f>
        <v>0</v>
      </c>
      <c r="C28" s="24">
        <f>AVERAGE(B9:B28)</f>
        <v>0</v>
      </c>
      <c r="F28" s="24">
        <f>MAX(B28-B27,0)</f>
        <v>0</v>
      </c>
      <c r="G28" s="24">
        <f>MAX(B27-B28,0)</f>
        <v>0</v>
      </c>
      <c r="H28" s="26">
        <f>IF(SUM(G15:G28)=0,100,100-100/(1+AVERAGE(F15:F28)/AVERAGE(G15:G28)))</f>
        <v>0</v>
      </c>
      <c r="I28" s="24">
        <f>C28+2*_xlfn.STDEV.S(B9:B28)</f>
        <v>0</v>
      </c>
      <c r="J28" s="24">
        <f>C28-2*_xlfn.STDEV.S(B9:B28)</f>
        <v>0</v>
      </c>
    </row>
    <row r="29" spans="1:10">
      <c r="A29" s="12">
        <f>'1_Precios'!A27</f>
        <v>0</v>
      </c>
      <c r="B29" s="24">
        <f>INDEX('1_Precios'!$B$27:$F$27,MATCH($B$1,'1_Precios'!$B$1:$F$1,0))</f>
        <v>0</v>
      </c>
      <c r="C29" s="24">
        <f>AVERAGE(B10:B29)</f>
        <v>0</v>
      </c>
      <c r="F29" s="24">
        <f>MAX(B29-B28,0)</f>
        <v>0</v>
      </c>
      <c r="G29" s="24">
        <f>MAX(B28-B29,0)</f>
        <v>0</v>
      </c>
      <c r="H29" s="26">
        <f>IF(SUM(G16:G29)=0,100,100-100/(1+AVERAGE(F16:F29)/AVERAGE(G16:G29)))</f>
        <v>0</v>
      </c>
      <c r="I29" s="24">
        <f>C29+2*_xlfn.STDEV.S(B10:B29)</f>
        <v>0</v>
      </c>
      <c r="J29" s="24">
        <f>C29-2*_xlfn.STDEV.S(B10:B29)</f>
        <v>0</v>
      </c>
    </row>
    <row r="30" spans="1:10">
      <c r="A30" s="12">
        <f>'1_Precios'!A28</f>
        <v>0</v>
      </c>
      <c r="B30" s="24">
        <f>INDEX('1_Precios'!$B$28:$F$28,MATCH($B$1,'1_Precios'!$B$1:$F$1,0))</f>
        <v>0</v>
      </c>
      <c r="C30" s="24">
        <f>AVERAGE(B11:B30)</f>
        <v>0</v>
      </c>
      <c r="F30" s="24">
        <f>MAX(B30-B29,0)</f>
        <v>0</v>
      </c>
      <c r="G30" s="24">
        <f>MAX(B29-B30,0)</f>
        <v>0</v>
      </c>
      <c r="H30" s="26">
        <f>IF(SUM(G17:G30)=0,100,100-100/(1+AVERAGE(F17:F30)/AVERAGE(G17:G30)))</f>
        <v>0</v>
      </c>
      <c r="I30" s="24">
        <f>C30+2*_xlfn.STDEV.S(B11:B30)</f>
        <v>0</v>
      </c>
      <c r="J30" s="24">
        <f>C30-2*_xlfn.STDEV.S(B11:B30)</f>
        <v>0</v>
      </c>
    </row>
    <row r="31" spans="1:10">
      <c r="A31" s="12">
        <f>'1_Precios'!A29</f>
        <v>0</v>
      </c>
      <c r="B31" s="24">
        <f>INDEX('1_Precios'!$B$29:$F$29,MATCH($B$1,'1_Precios'!$B$1:$F$1,0))</f>
        <v>0</v>
      </c>
      <c r="C31" s="24">
        <f>AVERAGE(B12:B31)</f>
        <v>0</v>
      </c>
      <c r="F31" s="24">
        <f>MAX(B31-B30,0)</f>
        <v>0</v>
      </c>
      <c r="G31" s="24">
        <f>MAX(B30-B31,0)</f>
        <v>0</v>
      </c>
      <c r="H31" s="26">
        <f>IF(SUM(G18:G31)=0,100,100-100/(1+AVERAGE(F18:F31)/AVERAGE(G18:G31)))</f>
        <v>0</v>
      </c>
      <c r="I31" s="24">
        <f>C31+2*_xlfn.STDEV.S(B12:B31)</f>
        <v>0</v>
      </c>
      <c r="J31" s="24">
        <f>C31-2*_xlfn.STDEV.S(B12:B31)</f>
        <v>0</v>
      </c>
    </row>
    <row r="32" spans="1:10">
      <c r="A32" s="12">
        <f>'1_Precios'!A30</f>
        <v>0</v>
      </c>
      <c r="B32" s="24">
        <f>INDEX('1_Precios'!$B$30:$F$30,MATCH($B$1,'1_Precios'!$B$1:$F$1,0))</f>
        <v>0</v>
      </c>
      <c r="C32" s="24">
        <f>AVERAGE(B13:B32)</f>
        <v>0</v>
      </c>
      <c r="F32" s="24">
        <f>MAX(B32-B31,0)</f>
        <v>0</v>
      </c>
      <c r="G32" s="24">
        <f>MAX(B31-B32,0)</f>
        <v>0</v>
      </c>
      <c r="H32" s="26">
        <f>IF(SUM(G19:G32)=0,100,100-100/(1+AVERAGE(F19:F32)/AVERAGE(G19:G32)))</f>
        <v>0</v>
      </c>
      <c r="I32" s="24">
        <f>C32+2*_xlfn.STDEV.S(B13:B32)</f>
        <v>0</v>
      </c>
      <c r="J32" s="24">
        <f>C32-2*_xlfn.STDEV.S(B13:B32)</f>
        <v>0</v>
      </c>
    </row>
    <row r="33" spans="1:10">
      <c r="A33" s="12">
        <f>'1_Precios'!A31</f>
        <v>0</v>
      </c>
      <c r="B33" s="24">
        <f>INDEX('1_Precios'!$B$31:$F$31,MATCH($B$1,'1_Precios'!$B$1:$F$1,0))</f>
        <v>0</v>
      </c>
      <c r="C33" s="24">
        <f>AVERAGE(B14:B33)</f>
        <v>0</v>
      </c>
      <c r="F33" s="24">
        <f>MAX(B33-B32,0)</f>
        <v>0</v>
      </c>
      <c r="G33" s="24">
        <f>MAX(B32-B33,0)</f>
        <v>0</v>
      </c>
      <c r="H33" s="26">
        <f>IF(SUM(G20:G33)=0,100,100-100/(1+AVERAGE(F20:F33)/AVERAGE(G20:G33)))</f>
        <v>0</v>
      </c>
      <c r="I33" s="24">
        <f>C33+2*_xlfn.STDEV.S(B14:B33)</f>
        <v>0</v>
      </c>
      <c r="J33" s="24">
        <f>C33-2*_xlfn.STDEV.S(B14:B33)</f>
        <v>0</v>
      </c>
    </row>
    <row r="34" spans="1:10">
      <c r="A34" s="12">
        <f>'1_Precios'!A32</f>
        <v>0</v>
      </c>
      <c r="B34" s="24">
        <f>INDEX('1_Precios'!$B$32:$F$32,MATCH($B$1,'1_Precios'!$B$1:$F$1,0))</f>
        <v>0</v>
      </c>
      <c r="C34" s="24">
        <f>AVERAGE(B15:B34)</f>
        <v>0</v>
      </c>
      <c r="F34" s="24">
        <f>MAX(B34-B33,0)</f>
        <v>0</v>
      </c>
      <c r="G34" s="24">
        <f>MAX(B33-B34,0)</f>
        <v>0</v>
      </c>
      <c r="H34" s="26">
        <f>IF(SUM(G21:G34)=0,100,100-100/(1+AVERAGE(F21:F34)/AVERAGE(G21:G34)))</f>
        <v>0</v>
      </c>
      <c r="I34" s="24">
        <f>C34+2*_xlfn.STDEV.S(B15:B34)</f>
        <v>0</v>
      </c>
      <c r="J34" s="24">
        <f>C34-2*_xlfn.STDEV.S(B15:B34)</f>
        <v>0</v>
      </c>
    </row>
    <row r="35" spans="1:10">
      <c r="A35" s="12">
        <f>'1_Precios'!A33</f>
        <v>0</v>
      </c>
      <c r="B35" s="24">
        <f>INDEX('1_Precios'!$B$33:$F$33,MATCH($B$1,'1_Precios'!$B$1:$F$1,0))</f>
        <v>0</v>
      </c>
      <c r="C35" s="24">
        <f>AVERAGE(B16:B35)</f>
        <v>0</v>
      </c>
      <c r="F35" s="24">
        <f>MAX(B35-B34,0)</f>
        <v>0</v>
      </c>
      <c r="G35" s="24">
        <f>MAX(B34-B35,0)</f>
        <v>0</v>
      </c>
      <c r="H35" s="26">
        <f>IF(SUM(G22:G35)=0,100,100-100/(1+AVERAGE(F22:F35)/AVERAGE(G22:G35)))</f>
        <v>0</v>
      </c>
      <c r="I35" s="24">
        <f>C35+2*_xlfn.STDEV.S(B16:B35)</f>
        <v>0</v>
      </c>
      <c r="J35" s="24">
        <f>C35-2*_xlfn.STDEV.S(B16:B35)</f>
        <v>0</v>
      </c>
    </row>
    <row r="36" spans="1:10">
      <c r="A36" s="12">
        <f>'1_Precios'!A34</f>
        <v>0</v>
      </c>
      <c r="B36" s="24">
        <f>INDEX('1_Precios'!$B$34:$F$34,MATCH($B$1,'1_Precios'!$B$1:$F$1,0))</f>
        <v>0</v>
      </c>
      <c r="C36" s="24">
        <f>AVERAGE(B17:B36)</f>
        <v>0</v>
      </c>
      <c r="F36" s="24">
        <f>MAX(B36-B35,0)</f>
        <v>0</v>
      </c>
      <c r="G36" s="24">
        <f>MAX(B35-B36,0)</f>
        <v>0</v>
      </c>
      <c r="H36" s="26">
        <f>IF(SUM(G23:G36)=0,100,100-100/(1+AVERAGE(F23:F36)/AVERAGE(G23:G36)))</f>
        <v>0</v>
      </c>
      <c r="I36" s="24">
        <f>C36+2*_xlfn.STDEV.S(B17:B36)</f>
        <v>0</v>
      </c>
      <c r="J36" s="24">
        <f>C36-2*_xlfn.STDEV.S(B17:B36)</f>
        <v>0</v>
      </c>
    </row>
    <row r="37" spans="1:10">
      <c r="A37" s="12">
        <f>'1_Precios'!A35</f>
        <v>0</v>
      </c>
      <c r="B37" s="24">
        <f>INDEX('1_Precios'!$B$35:$F$35,MATCH($B$1,'1_Precios'!$B$1:$F$1,0))</f>
        <v>0</v>
      </c>
      <c r="C37" s="24">
        <f>AVERAGE(B18:B37)</f>
        <v>0</v>
      </c>
      <c r="F37" s="24">
        <f>MAX(B37-B36,0)</f>
        <v>0</v>
      </c>
      <c r="G37" s="24">
        <f>MAX(B36-B37,0)</f>
        <v>0</v>
      </c>
      <c r="H37" s="26">
        <f>IF(SUM(G24:G37)=0,100,100-100/(1+AVERAGE(F24:F37)/AVERAGE(G24:G37)))</f>
        <v>0</v>
      </c>
      <c r="I37" s="24">
        <f>C37+2*_xlfn.STDEV.S(B18:B37)</f>
        <v>0</v>
      </c>
      <c r="J37" s="24">
        <f>C37-2*_xlfn.STDEV.S(B18:B37)</f>
        <v>0</v>
      </c>
    </row>
    <row r="38" spans="1:10">
      <c r="A38" s="12">
        <f>'1_Precios'!A36</f>
        <v>0</v>
      </c>
      <c r="B38" s="24">
        <f>INDEX('1_Precios'!$B$36:$F$36,MATCH($B$1,'1_Precios'!$B$1:$F$1,0))</f>
        <v>0</v>
      </c>
      <c r="C38" s="24">
        <f>AVERAGE(B19:B38)</f>
        <v>0</v>
      </c>
      <c r="F38" s="24">
        <f>MAX(B38-B37,0)</f>
        <v>0</v>
      </c>
      <c r="G38" s="24">
        <f>MAX(B37-B38,0)</f>
        <v>0</v>
      </c>
      <c r="H38" s="26">
        <f>IF(SUM(G25:G38)=0,100,100-100/(1+AVERAGE(F25:F38)/AVERAGE(G25:G38)))</f>
        <v>0</v>
      </c>
      <c r="I38" s="24">
        <f>C38+2*_xlfn.STDEV.S(B19:B38)</f>
        <v>0</v>
      </c>
      <c r="J38" s="24">
        <f>C38-2*_xlfn.STDEV.S(B19:B38)</f>
        <v>0</v>
      </c>
    </row>
    <row r="39" spans="1:10">
      <c r="A39" s="12">
        <f>'1_Precios'!A37</f>
        <v>0</v>
      </c>
      <c r="B39" s="24">
        <f>INDEX('1_Precios'!$B$37:$F$37,MATCH($B$1,'1_Precios'!$B$1:$F$1,0))</f>
        <v>0</v>
      </c>
      <c r="C39" s="24">
        <f>AVERAGE(B20:B39)</f>
        <v>0</v>
      </c>
      <c r="F39" s="24">
        <f>MAX(B39-B38,0)</f>
        <v>0</v>
      </c>
      <c r="G39" s="24">
        <f>MAX(B38-B39,0)</f>
        <v>0</v>
      </c>
      <c r="H39" s="26">
        <f>IF(SUM(G26:G39)=0,100,100-100/(1+AVERAGE(F26:F39)/AVERAGE(G26:G39)))</f>
        <v>0</v>
      </c>
      <c r="I39" s="24">
        <f>C39+2*_xlfn.STDEV.S(B20:B39)</f>
        <v>0</v>
      </c>
      <c r="J39" s="24">
        <f>C39-2*_xlfn.STDEV.S(B20:B39)</f>
        <v>0</v>
      </c>
    </row>
    <row r="40" spans="1:10">
      <c r="A40" s="12">
        <f>'1_Precios'!A38</f>
        <v>0</v>
      </c>
      <c r="B40" s="24">
        <f>INDEX('1_Precios'!$B$38:$F$38,MATCH($B$1,'1_Precios'!$B$1:$F$1,0))</f>
        <v>0</v>
      </c>
      <c r="C40" s="24">
        <f>AVERAGE(B21:B40)</f>
        <v>0</v>
      </c>
      <c r="F40" s="24">
        <f>MAX(B40-B39,0)</f>
        <v>0</v>
      </c>
      <c r="G40" s="24">
        <f>MAX(B39-B40,0)</f>
        <v>0</v>
      </c>
      <c r="H40" s="26">
        <f>IF(SUM(G27:G40)=0,100,100-100/(1+AVERAGE(F27:F40)/AVERAGE(G27:G40)))</f>
        <v>0</v>
      </c>
      <c r="I40" s="24">
        <f>C40+2*_xlfn.STDEV.S(B21:B40)</f>
        <v>0</v>
      </c>
      <c r="J40" s="24">
        <f>C40-2*_xlfn.STDEV.S(B21:B40)</f>
        <v>0</v>
      </c>
    </row>
    <row r="41" spans="1:10">
      <c r="A41" s="12">
        <f>'1_Precios'!A39</f>
        <v>0</v>
      </c>
      <c r="B41" s="24">
        <f>INDEX('1_Precios'!$B$39:$F$39,MATCH($B$1,'1_Precios'!$B$1:$F$1,0))</f>
        <v>0</v>
      </c>
      <c r="C41" s="24">
        <f>AVERAGE(B22:B41)</f>
        <v>0</v>
      </c>
      <c r="F41" s="24">
        <f>MAX(B41-B40,0)</f>
        <v>0</v>
      </c>
      <c r="G41" s="24">
        <f>MAX(B40-B41,0)</f>
        <v>0</v>
      </c>
      <c r="H41" s="26">
        <f>IF(SUM(G28:G41)=0,100,100-100/(1+AVERAGE(F28:F41)/AVERAGE(G28:G41)))</f>
        <v>0</v>
      </c>
      <c r="I41" s="24">
        <f>C41+2*_xlfn.STDEV.S(B22:B41)</f>
        <v>0</v>
      </c>
      <c r="J41" s="24">
        <f>C41-2*_xlfn.STDEV.S(B22:B41)</f>
        <v>0</v>
      </c>
    </row>
    <row r="42" spans="1:10">
      <c r="A42" s="12">
        <f>'1_Precios'!A40</f>
        <v>0</v>
      </c>
      <c r="B42" s="24">
        <f>INDEX('1_Precios'!$B$40:$F$40,MATCH($B$1,'1_Precios'!$B$1:$F$1,0))</f>
        <v>0</v>
      </c>
      <c r="C42" s="24">
        <f>AVERAGE(B23:B42)</f>
        <v>0</v>
      </c>
      <c r="F42" s="24">
        <f>MAX(B42-B41,0)</f>
        <v>0</v>
      </c>
      <c r="G42" s="24">
        <f>MAX(B41-B42,0)</f>
        <v>0</v>
      </c>
      <c r="H42" s="26">
        <f>IF(SUM(G29:G42)=0,100,100-100/(1+AVERAGE(F29:F42)/AVERAGE(G29:G42)))</f>
        <v>0</v>
      </c>
      <c r="I42" s="24">
        <f>C42+2*_xlfn.STDEV.S(B23:B42)</f>
        <v>0</v>
      </c>
      <c r="J42" s="24">
        <f>C42-2*_xlfn.STDEV.S(B23:B42)</f>
        <v>0</v>
      </c>
    </row>
    <row r="43" spans="1:10">
      <c r="A43" s="12">
        <f>'1_Precios'!A41</f>
        <v>0</v>
      </c>
      <c r="B43" s="24">
        <f>INDEX('1_Precios'!$B$41:$F$41,MATCH($B$1,'1_Precios'!$B$1:$F$1,0))</f>
        <v>0</v>
      </c>
      <c r="C43" s="24">
        <f>AVERAGE(B24:B43)</f>
        <v>0</v>
      </c>
      <c r="F43" s="24">
        <f>MAX(B43-B42,0)</f>
        <v>0</v>
      </c>
      <c r="G43" s="24">
        <f>MAX(B42-B43,0)</f>
        <v>0</v>
      </c>
      <c r="H43" s="26">
        <f>IF(SUM(G30:G43)=0,100,100-100/(1+AVERAGE(F30:F43)/AVERAGE(G30:G43)))</f>
        <v>0</v>
      </c>
      <c r="I43" s="24">
        <f>C43+2*_xlfn.STDEV.S(B24:B43)</f>
        <v>0</v>
      </c>
      <c r="J43" s="24">
        <f>C43-2*_xlfn.STDEV.S(B24:B43)</f>
        <v>0</v>
      </c>
    </row>
    <row r="44" spans="1:10">
      <c r="A44" s="12">
        <f>'1_Precios'!A42</f>
        <v>0</v>
      </c>
      <c r="B44" s="24">
        <f>INDEX('1_Precios'!$B$42:$F$42,MATCH($B$1,'1_Precios'!$B$1:$F$1,0))</f>
        <v>0</v>
      </c>
      <c r="C44" s="24">
        <f>AVERAGE(B25:B44)</f>
        <v>0</v>
      </c>
      <c r="F44" s="24">
        <f>MAX(B44-B43,0)</f>
        <v>0</v>
      </c>
      <c r="G44" s="24">
        <f>MAX(B43-B44,0)</f>
        <v>0</v>
      </c>
      <c r="H44" s="26">
        <f>IF(SUM(G31:G44)=0,100,100-100/(1+AVERAGE(F31:F44)/AVERAGE(G31:G44)))</f>
        <v>0</v>
      </c>
      <c r="I44" s="24">
        <f>C44+2*_xlfn.STDEV.S(B25:B44)</f>
        <v>0</v>
      </c>
      <c r="J44" s="24">
        <f>C44-2*_xlfn.STDEV.S(B25:B44)</f>
        <v>0</v>
      </c>
    </row>
    <row r="45" spans="1:10">
      <c r="A45" s="12">
        <f>'1_Precios'!A43</f>
        <v>0</v>
      </c>
      <c r="B45" s="24">
        <f>INDEX('1_Precios'!$B$43:$F$43,MATCH($B$1,'1_Precios'!$B$1:$F$1,0))</f>
        <v>0</v>
      </c>
      <c r="C45" s="24">
        <f>AVERAGE(B26:B45)</f>
        <v>0</v>
      </c>
      <c r="F45" s="24">
        <f>MAX(B45-B44,0)</f>
        <v>0</v>
      </c>
      <c r="G45" s="24">
        <f>MAX(B44-B45,0)</f>
        <v>0</v>
      </c>
      <c r="H45" s="26">
        <f>IF(SUM(G32:G45)=0,100,100-100/(1+AVERAGE(F32:F45)/AVERAGE(G32:G45)))</f>
        <v>0</v>
      </c>
      <c r="I45" s="24">
        <f>C45+2*_xlfn.STDEV.S(B26:B45)</f>
        <v>0</v>
      </c>
      <c r="J45" s="24">
        <f>C45-2*_xlfn.STDEV.S(B26:B45)</f>
        <v>0</v>
      </c>
    </row>
    <row r="46" spans="1:10">
      <c r="A46" s="12">
        <f>'1_Precios'!A44</f>
        <v>0</v>
      </c>
      <c r="B46" s="24">
        <f>INDEX('1_Precios'!$B$44:$F$44,MATCH($B$1,'1_Precios'!$B$1:$F$1,0))</f>
        <v>0</v>
      </c>
      <c r="C46" s="24">
        <f>AVERAGE(B27:B46)</f>
        <v>0</v>
      </c>
      <c r="F46" s="24">
        <f>MAX(B46-B45,0)</f>
        <v>0</v>
      </c>
      <c r="G46" s="24">
        <f>MAX(B45-B46,0)</f>
        <v>0</v>
      </c>
      <c r="H46" s="26">
        <f>IF(SUM(G33:G46)=0,100,100-100/(1+AVERAGE(F33:F46)/AVERAGE(G33:G46)))</f>
        <v>0</v>
      </c>
      <c r="I46" s="24">
        <f>C46+2*_xlfn.STDEV.S(B27:B46)</f>
        <v>0</v>
      </c>
      <c r="J46" s="24">
        <f>C46-2*_xlfn.STDEV.S(B27:B46)</f>
        <v>0</v>
      </c>
    </row>
    <row r="47" spans="1:10">
      <c r="A47" s="12">
        <f>'1_Precios'!A45</f>
        <v>0</v>
      </c>
      <c r="B47" s="24">
        <f>INDEX('1_Precios'!$B$45:$F$45,MATCH($B$1,'1_Precios'!$B$1:$F$1,0))</f>
        <v>0</v>
      </c>
      <c r="C47" s="24">
        <f>AVERAGE(B28:B47)</f>
        <v>0</v>
      </c>
      <c r="F47" s="24">
        <f>MAX(B47-B46,0)</f>
        <v>0</v>
      </c>
      <c r="G47" s="24">
        <f>MAX(B46-B47,0)</f>
        <v>0</v>
      </c>
      <c r="H47" s="26">
        <f>IF(SUM(G34:G47)=0,100,100-100/(1+AVERAGE(F34:F47)/AVERAGE(G34:G47)))</f>
        <v>0</v>
      </c>
      <c r="I47" s="24">
        <f>C47+2*_xlfn.STDEV.S(B28:B47)</f>
        <v>0</v>
      </c>
      <c r="J47" s="24">
        <f>C47-2*_xlfn.STDEV.S(B28:B47)</f>
        <v>0</v>
      </c>
    </row>
    <row r="48" spans="1:10">
      <c r="A48" s="12">
        <f>'1_Precios'!A46</f>
        <v>0</v>
      </c>
      <c r="B48" s="24">
        <f>INDEX('1_Precios'!$B$46:$F$46,MATCH($B$1,'1_Precios'!$B$1:$F$1,0))</f>
        <v>0</v>
      </c>
      <c r="C48" s="24">
        <f>AVERAGE(B29:B48)</f>
        <v>0</v>
      </c>
      <c r="F48" s="24">
        <f>MAX(B48-B47,0)</f>
        <v>0</v>
      </c>
      <c r="G48" s="24">
        <f>MAX(B47-B48,0)</f>
        <v>0</v>
      </c>
      <c r="H48" s="26">
        <f>IF(SUM(G35:G48)=0,100,100-100/(1+AVERAGE(F35:F48)/AVERAGE(G35:G48)))</f>
        <v>0</v>
      </c>
      <c r="I48" s="24">
        <f>C48+2*_xlfn.STDEV.S(B29:B48)</f>
        <v>0</v>
      </c>
      <c r="J48" s="24">
        <f>C48-2*_xlfn.STDEV.S(B29:B48)</f>
        <v>0</v>
      </c>
    </row>
    <row r="49" spans="1:10">
      <c r="A49" s="12">
        <f>'1_Precios'!A47</f>
        <v>0</v>
      </c>
      <c r="B49" s="24">
        <f>INDEX('1_Precios'!$B$47:$F$47,MATCH($B$1,'1_Precios'!$B$1:$F$1,0))</f>
        <v>0</v>
      </c>
      <c r="C49" s="24">
        <f>AVERAGE(B30:B49)</f>
        <v>0</v>
      </c>
      <c r="F49" s="24">
        <f>MAX(B49-B48,0)</f>
        <v>0</v>
      </c>
      <c r="G49" s="24">
        <f>MAX(B48-B49,0)</f>
        <v>0</v>
      </c>
      <c r="H49" s="26">
        <f>IF(SUM(G36:G49)=0,100,100-100/(1+AVERAGE(F36:F49)/AVERAGE(G36:G49)))</f>
        <v>0</v>
      </c>
      <c r="I49" s="24">
        <f>C49+2*_xlfn.STDEV.S(B30:B49)</f>
        <v>0</v>
      </c>
      <c r="J49" s="24">
        <f>C49-2*_xlfn.STDEV.S(B30:B49)</f>
        <v>0</v>
      </c>
    </row>
    <row r="50" spans="1:10">
      <c r="A50" s="12">
        <f>'1_Precios'!A48</f>
        <v>0</v>
      </c>
      <c r="B50" s="24">
        <f>INDEX('1_Precios'!$B$48:$F$48,MATCH($B$1,'1_Precios'!$B$1:$F$1,0))</f>
        <v>0</v>
      </c>
      <c r="C50" s="24">
        <f>AVERAGE(B31:B50)</f>
        <v>0</v>
      </c>
      <c r="F50" s="24">
        <f>MAX(B50-B49,0)</f>
        <v>0</v>
      </c>
      <c r="G50" s="24">
        <f>MAX(B49-B50,0)</f>
        <v>0</v>
      </c>
      <c r="H50" s="26">
        <f>IF(SUM(G37:G50)=0,100,100-100/(1+AVERAGE(F37:F50)/AVERAGE(G37:G50)))</f>
        <v>0</v>
      </c>
      <c r="I50" s="24">
        <f>C50+2*_xlfn.STDEV.S(B31:B50)</f>
        <v>0</v>
      </c>
      <c r="J50" s="24">
        <f>C50-2*_xlfn.STDEV.S(B31:B50)</f>
        <v>0</v>
      </c>
    </row>
    <row r="51" spans="1:10">
      <c r="A51" s="12">
        <f>'1_Precios'!A49</f>
        <v>0</v>
      </c>
      <c r="B51" s="24">
        <f>INDEX('1_Precios'!$B$49:$F$49,MATCH($B$1,'1_Precios'!$B$1:$F$1,0))</f>
        <v>0</v>
      </c>
      <c r="C51" s="24">
        <f>AVERAGE(B32:B51)</f>
        <v>0</v>
      </c>
      <c r="F51" s="24">
        <f>MAX(B51-B50,0)</f>
        <v>0</v>
      </c>
      <c r="G51" s="24">
        <f>MAX(B50-B51,0)</f>
        <v>0</v>
      </c>
      <c r="H51" s="26">
        <f>IF(SUM(G38:G51)=0,100,100-100/(1+AVERAGE(F38:F51)/AVERAGE(G38:G51)))</f>
        <v>0</v>
      </c>
      <c r="I51" s="24">
        <f>C51+2*_xlfn.STDEV.S(B32:B51)</f>
        <v>0</v>
      </c>
      <c r="J51" s="24">
        <f>C51-2*_xlfn.STDEV.S(B32:B51)</f>
        <v>0</v>
      </c>
    </row>
    <row r="52" spans="1:10">
      <c r="A52" s="12">
        <f>'1_Precios'!A50</f>
        <v>0</v>
      </c>
      <c r="B52" s="24">
        <f>INDEX('1_Precios'!$B$50:$F$50,MATCH($B$1,'1_Precios'!$B$1:$F$1,0))</f>
        <v>0</v>
      </c>
      <c r="C52" s="24">
        <f>AVERAGE(B33:B52)</f>
        <v>0</v>
      </c>
      <c r="F52" s="24">
        <f>MAX(B52-B51,0)</f>
        <v>0</v>
      </c>
      <c r="G52" s="24">
        <f>MAX(B51-B52,0)</f>
        <v>0</v>
      </c>
      <c r="H52" s="26">
        <f>IF(SUM(G39:G52)=0,100,100-100/(1+AVERAGE(F39:F52)/AVERAGE(G39:G52)))</f>
        <v>0</v>
      </c>
      <c r="I52" s="24">
        <f>C52+2*_xlfn.STDEV.S(B33:B52)</f>
        <v>0</v>
      </c>
      <c r="J52" s="24">
        <f>C52-2*_xlfn.STDEV.S(B33:B52)</f>
        <v>0</v>
      </c>
    </row>
    <row r="53" spans="1:10">
      <c r="A53" s="12">
        <f>'1_Precios'!A51</f>
        <v>0</v>
      </c>
      <c r="B53" s="24">
        <f>INDEX('1_Precios'!$B$51:$F$51,MATCH($B$1,'1_Precios'!$B$1:$F$1,0))</f>
        <v>0</v>
      </c>
      <c r="C53" s="24">
        <f>AVERAGE(B34:B53)</f>
        <v>0</v>
      </c>
      <c r="D53" s="24">
        <f>AVERAGE(B4:B53)</f>
        <v>0</v>
      </c>
      <c r="F53" s="24">
        <f>MAX(B53-B52,0)</f>
        <v>0</v>
      </c>
      <c r="G53" s="24">
        <f>MAX(B52-B53,0)</f>
        <v>0</v>
      </c>
      <c r="H53" s="26">
        <f>IF(SUM(G40:G53)=0,100,100-100/(1+AVERAGE(F40:F53)/AVERAGE(G40:G53)))</f>
        <v>0</v>
      </c>
      <c r="I53" s="24">
        <f>C53+2*_xlfn.STDEV.S(B34:B53)</f>
        <v>0</v>
      </c>
      <c r="J53" s="24">
        <f>C53-2*_xlfn.STDEV.S(B34:B53)</f>
        <v>0</v>
      </c>
    </row>
    <row r="54" spans="1:10">
      <c r="A54" s="12">
        <f>'1_Precios'!A52</f>
        <v>0</v>
      </c>
      <c r="B54" s="24">
        <f>INDEX('1_Precios'!$B$52:$F$52,MATCH($B$1,'1_Precios'!$B$1:$F$1,0))</f>
        <v>0</v>
      </c>
      <c r="C54" s="24">
        <f>AVERAGE(B35:B54)</f>
        <v>0</v>
      </c>
      <c r="D54" s="24">
        <f>AVERAGE(B5:B54)</f>
        <v>0</v>
      </c>
      <c r="E54" s="9">
        <f>IF(AND(C54&gt;D54,C53&lt;=D53),"COMPRA (cruce alcista)",IF(AND(C54&lt;D54,C53&gt;=D53),"VENTA (cruce bajista)",""))</f>
        <v>0</v>
      </c>
      <c r="F54" s="24">
        <f>MAX(B54-B53,0)</f>
        <v>0</v>
      </c>
      <c r="G54" s="24">
        <f>MAX(B53-B54,0)</f>
        <v>0</v>
      </c>
      <c r="H54" s="26">
        <f>IF(SUM(G41:G54)=0,100,100-100/(1+AVERAGE(F41:F54)/AVERAGE(G41:G54)))</f>
        <v>0</v>
      </c>
      <c r="I54" s="24">
        <f>C54+2*_xlfn.STDEV.S(B35:B54)</f>
        <v>0</v>
      </c>
      <c r="J54" s="24">
        <f>C54-2*_xlfn.STDEV.S(B35:B54)</f>
        <v>0</v>
      </c>
    </row>
    <row r="55" spans="1:10">
      <c r="A55" s="12">
        <f>'1_Precios'!A53</f>
        <v>0</v>
      </c>
      <c r="B55" s="24">
        <f>INDEX('1_Precios'!$B$53:$F$53,MATCH($B$1,'1_Precios'!$B$1:$F$1,0))</f>
        <v>0</v>
      </c>
      <c r="C55" s="24">
        <f>AVERAGE(B36:B55)</f>
        <v>0</v>
      </c>
      <c r="D55" s="24">
        <f>AVERAGE(B6:B55)</f>
        <v>0</v>
      </c>
      <c r="E55" s="9">
        <f>IF(AND(C55&gt;D55,C54&lt;=D54),"COMPRA (cruce alcista)",IF(AND(C55&lt;D55,C54&gt;=D54),"VENTA (cruce bajista)",""))</f>
        <v>0</v>
      </c>
      <c r="F55" s="24">
        <f>MAX(B55-B54,0)</f>
        <v>0</v>
      </c>
      <c r="G55" s="24">
        <f>MAX(B54-B55,0)</f>
        <v>0</v>
      </c>
      <c r="H55" s="26">
        <f>IF(SUM(G42:G55)=0,100,100-100/(1+AVERAGE(F42:F55)/AVERAGE(G42:G55)))</f>
        <v>0</v>
      </c>
      <c r="I55" s="24">
        <f>C55+2*_xlfn.STDEV.S(B36:B55)</f>
        <v>0</v>
      </c>
      <c r="J55" s="24">
        <f>C55-2*_xlfn.STDEV.S(B36:B55)</f>
        <v>0</v>
      </c>
    </row>
    <row r="56" spans="1:10">
      <c r="A56" s="12">
        <f>'1_Precios'!A54</f>
        <v>0</v>
      </c>
      <c r="B56" s="24">
        <f>INDEX('1_Precios'!$B$54:$F$54,MATCH($B$1,'1_Precios'!$B$1:$F$1,0))</f>
        <v>0</v>
      </c>
      <c r="C56" s="24">
        <f>AVERAGE(B37:B56)</f>
        <v>0</v>
      </c>
      <c r="D56" s="24">
        <f>AVERAGE(B7:B56)</f>
        <v>0</v>
      </c>
      <c r="E56" s="9">
        <f>IF(AND(C56&gt;D56,C55&lt;=D55),"COMPRA (cruce alcista)",IF(AND(C56&lt;D56,C55&gt;=D55),"VENTA (cruce bajista)",""))</f>
        <v>0</v>
      </c>
      <c r="F56" s="24">
        <f>MAX(B56-B55,0)</f>
        <v>0</v>
      </c>
      <c r="G56" s="24">
        <f>MAX(B55-B56,0)</f>
        <v>0</v>
      </c>
      <c r="H56" s="26">
        <f>IF(SUM(G43:G56)=0,100,100-100/(1+AVERAGE(F43:F56)/AVERAGE(G43:G56)))</f>
        <v>0</v>
      </c>
      <c r="I56" s="24">
        <f>C56+2*_xlfn.STDEV.S(B37:B56)</f>
        <v>0</v>
      </c>
      <c r="J56" s="24">
        <f>C56-2*_xlfn.STDEV.S(B37:B56)</f>
        <v>0</v>
      </c>
    </row>
    <row r="57" spans="1:10">
      <c r="A57" s="12">
        <f>'1_Precios'!A55</f>
        <v>0</v>
      </c>
      <c r="B57" s="24">
        <f>INDEX('1_Precios'!$B$55:$F$55,MATCH($B$1,'1_Precios'!$B$1:$F$1,0))</f>
        <v>0</v>
      </c>
      <c r="C57" s="24">
        <f>AVERAGE(B38:B57)</f>
        <v>0</v>
      </c>
      <c r="D57" s="24">
        <f>AVERAGE(B8:B57)</f>
        <v>0</v>
      </c>
      <c r="E57" s="9">
        <f>IF(AND(C57&gt;D57,C56&lt;=D56),"COMPRA (cruce alcista)",IF(AND(C57&lt;D57,C56&gt;=D56),"VENTA (cruce bajista)",""))</f>
        <v>0</v>
      </c>
      <c r="F57" s="24">
        <f>MAX(B57-B56,0)</f>
        <v>0</v>
      </c>
      <c r="G57" s="24">
        <f>MAX(B56-B57,0)</f>
        <v>0</v>
      </c>
      <c r="H57" s="26">
        <f>IF(SUM(G44:G57)=0,100,100-100/(1+AVERAGE(F44:F57)/AVERAGE(G44:G57)))</f>
        <v>0</v>
      </c>
      <c r="I57" s="24">
        <f>C57+2*_xlfn.STDEV.S(B38:B57)</f>
        <v>0</v>
      </c>
      <c r="J57" s="24">
        <f>C57-2*_xlfn.STDEV.S(B38:B57)</f>
        <v>0</v>
      </c>
    </row>
    <row r="58" spans="1:10">
      <c r="A58" s="12">
        <f>'1_Precios'!A56</f>
        <v>0</v>
      </c>
      <c r="B58" s="24">
        <f>INDEX('1_Precios'!$B$56:$F$56,MATCH($B$1,'1_Precios'!$B$1:$F$1,0))</f>
        <v>0</v>
      </c>
      <c r="C58" s="24">
        <f>AVERAGE(B39:B58)</f>
        <v>0</v>
      </c>
      <c r="D58" s="24">
        <f>AVERAGE(B9:B58)</f>
        <v>0</v>
      </c>
      <c r="E58" s="9">
        <f>IF(AND(C58&gt;D58,C57&lt;=D57),"COMPRA (cruce alcista)",IF(AND(C58&lt;D58,C57&gt;=D57),"VENTA (cruce bajista)",""))</f>
        <v>0</v>
      </c>
      <c r="F58" s="24">
        <f>MAX(B58-B57,0)</f>
        <v>0</v>
      </c>
      <c r="G58" s="24">
        <f>MAX(B57-B58,0)</f>
        <v>0</v>
      </c>
      <c r="H58" s="26">
        <f>IF(SUM(G45:G58)=0,100,100-100/(1+AVERAGE(F45:F58)/AVERAGE(G45:G58)))</f>
        <v>0</v>
      </c>
      <c r="I58" s="24">
        <f>C58+2*_xlfn.STDEV.S(B39:B58)</f>
        <v>0</v>
      </c>
      <c r="J58" s="24">
        <f>C58-2*_xlfn.STDEV.S(B39:B58)</f>
        <v>0</v>
      </c>
    </row>
    <row r="59" spans="1:10">
      <c r="A59" s="12">
        <f>'1_Precios'!A57</f>
        <v>0</v>
      </c>
      <c r="B59" s="24">
        <f>INDEX('1_Precios'!$B$57:$F$57,MATCH($B$1,'1_Precios'!$B$1:$F$1,0))</f>
        <v>0</v>
      </c>
      <c r="C59" s="24">
        <f>AVERAGE(B40:B59)</f>
        <v>0</v>
      </c>
      <c r="D59" s="24">
        <f>AVERAGE(B10:B59)</f>
        <v>0</v>
      </c>
      <c r="E59" s="9">
        <f>IF(AND(C59&gt;D59,C58&lt;=D58),"COMPRA (cruce alcista)",IF(AND(C59&lt;D59,C58&gt;=D58),"VENTA (cruce bajista)",""))</f>
        <v>0</v>
      </c>
      <c r="F59" s="24">
        <f>MAX(B59-B58,0)</f>
        <v>0</v>
      </c>
      <c r="G59" s="24">
        <f>MAX(B58-B59,0)</f>
        <v>0</v>
      </c>
      <c r="H59" s="26">
        <f>IF(SUM(G46:G59)=0,100,100-100/(1+AVERAGE(F46:F59)/AVERAGE(G46:G59)))</f>
        <v>0</v>
      </c>
      <c r="I59" s="24">
        <f>C59+2*_xlfn.STDEV.S(B40:B59)</f>
        <v>0</v>
      </c>
      <c r="J59" s="24">
        <f>C59-2*_xlfn.STDEV.S(B40:B59)</f>
        <v>0</v>
      </c>
    </row>
    <row r="60" spans="1:10">
      <c r="A60" s="12">
        <f>'1_Precios'!A58</f>
        <v>0</v>
      </c>
      <c r="B60" s="24">
        <f>INDEX('1_Precios'!$B$58:$F$58,MATCH($B$1,'1_Precios'!$B$1:$F$1,0))</f>
        <v>0</v>
      </c>
      <c r="C60" s="24">
        <f>AVERAGE(B41:B60)</f>
        <v>0</v>
      </c>
      <c r="D60" s="24">
        <f>AVERAGE(B11:B60)</f>
        <v>0</v>
      </c>
      <c r="E60" s="9">
        <f>IF(AND(C60&gt;D60,C59&lt;=D59),"COMPRA (cruce alcista)",IF(AND(C60&lt;D60,C59&gt;=D59),"VENTA (cruce bajista)",""))</f>
        <v>0</v>
      </c>
      <c r="F60" s="24">
        <f>MAX(B60-B59,0)</f>
        <v>0</v>
      </c>
      <c r="G60" s="24">
        <f>MAX(B59-B60,0)</f>
        <v>0</v>
      </c>
      <c r="H60" s="26">
        <f>IF(SUM(G47:G60)=0,100,100-100/(1+AVERAGE(F47:F60)/AVERAGE(G47:G60)))</f>
        <v>0</v>
      </c>
      <c r="I60" s="24">
        <f>C60+2*_xlfn.STDEV.S(B41:B60)</f>
        <v>0</v>
      </c>
      <c r="J60" s="24">
        <f>C60-2*_xlfn.STDEV.S(B41:B60)</f>
        <v>0</v>
      </c>
    </row>
    <row r="61" spans="1:10">
      <c r="A61" s="12">
        <f>'1_Precios'!A59</f>
        <v>0</v>
      </c>
      <c r="B61" s="24">
        <f>INDEX('1_Precios'!$B$59:$F$59,MATCH($B$1,'1_Precios'!$B$1:$F$1,0))</f>
        <v>0</v>
      </c>
      <c r="C61" s="24">
        <f>AVERAGE(B42:B61)</f>
        <v>0</v>
      </c>
      <c r="D61" s="24">
        <f>AVERAGE(B12:B61)</f>
        <v>0</v>
      </c>
      <c r="E61" s="9">
        <f>IF(AND(C61&gt;D61,C60&lt;=D60),"COMPRA (cruce alcista)",IF(AND(C61&lt;D61,C60&gt;=D60),"VENTA (cruce bajista)",""))</f>
        <v>0</v>
      </c>
      <c r="F61" s="24">
        <f>MAX(B61-B60,0)</f>
        <v>0</v>
      </c>
      <c r="G61" s="24">
        <f>MAX(B60-B61,0)</f>
        <v>0</v>
      </c>
      <c r="H61" s="26">
        <f>IF(SUM(G48:G61)=0,100,100-100/(1+AVERAGE(F48:F61)/AVERAGE(G48:G61)))</f>
        <v>0</v>
      </c>
      <c r="I61" s="24">
        <f>C61+2*_xlfn.STDEV.S(B42:B61)</f>
        <v>0</v>
      </c>
      <c r="J61" s="24">
        <f>C61-2*_xlfn.STDEV.S(B42:B61)</f>
        <v>0</v>
      </c>
    </row>
    <row r="62" spans="1:10">
      <c r="A62" s="12">
        <f>'1_Precios'!A60</f>
        <v>0</v>
      </c>
      <c r="B62" s="24">
        <f>INDEX('1_Precios'!$B$60:$F$60,MATCH($B$1,'1_Precios'!$B$1:$F$1,0))</f>
        <v>0</v>
      </c>
      <c r="C62" s="24">
        <f>AVERAGE(B43:B62)</f>
        <v>0</v>
      </c>
      <c r="D62" s="24">
        <f>AVERAGE(B13:B62)</f>
        <v>0</v>
      </c>
      <c r="E62" s="9">
        <f>IF(AND(C62&gt;D62,C61&lt;=D61),"COMPRA (cruce alcista)",IF(AND(C62&lt;D62,C61&gt;=D61),"VENTA (cruce bajista)",""))</f>
        <v>0</v>
      </c>
      <c r="F62" s="24">
        <f>MAX(B62-B61,0)</f>
        <v>0</v>
      </c>
      <c r="G62" s="24">
        <f>MAX(B61-B62,0)</f>
        <v>0</v>
      </c>
      <c r="H62" s="26">
        <f>IF(SUM(G49:G62)=0,100,100-100/(1+AVERAGE(F49:F62)/AVERAGE(G49:G62)))</f>
        <v>0</v>
      </c>
      <c r="I62" s="24">
        <f>C62+2*_xlfn.STDEV.S(B43:B62)</f>
        <v>0</v>
      </c>
      <c r="J62" s="24">
        <f>C62-2*_xlfn.STDEV.S(B43:B62)</f>
        <v>0</v>
      </c>
    </row>
    <row r="63" spans="1:10">
      <c r="A63" s="12">
        <f>'1_Precios'!A61</f>
        <v>0</v>
      </c>
      <c r="B63" s="24">
        <f>INDEX('1_Precios'!$B$61:$F$61,MATCH($B$1,'1_Precios'!$B$1:$F$1,0))</f>
        <v>0</v>
      </c>
      <c r="C63" s="24">
        <f>AVERAGE(B44:B63)</f>
        <v>0</v>
      </c>
      <c r="D63" s="24">
        <f>AVERAGE(B14:B63)</f>
        <v>0</v>
      </c>
      <c r="E63" s="9">
        <f>IF(AND(C63&gt;D63,C62&lt;=D62),"COMPRA (cruce alcista)",IF(AND(C63&lt;D63,C62&gt;=D62),"VENTA (cruce bajista)",""))</f>
        <v>0</v>
      </c>
      <c r="F63" s="24">
        <f>MAX(B63-B62,0)</f>
        <v>0</v>
      </c>
      <c r="G63" s="24">
        <f>MAX(B62-B63,0)</f>
        <v>0</v>
      </c>
      <c r="H63" s="26">
        <f>IF(SUM(G50:G63)=0,100,100-100/(1+AVERAGE(F50:F63)/AVERAGE(G50:G63)))</f>
        <v>0</v>
      </c>
      <c r="I63" s="24">
        <f>C63+2*_xlfn.STDEV.S(B44:B63)</f>
        <v>0</v>
      </c>
      <c r="J63" s="24">
        <f>C63-2*_xlfn.STDEV.S(B44:B63)</f>
        <v>0</v>
      </c>
    </row>
    <row r="64" spans="1:10">
      <c r="A64" s="12">
        <f>'1_Precios'!A62</f>
        <v>0</v>
      </c>
      <c r="B64" s="24">
        <f>INDEX('1_Precios'!$B$62:$F$62,MATCH($B$1,'1_Precios'!$B$1:$F$1,0))</f>
        <v>0</v>
      </c>
      <c r="C64" s="24">
        <f>AVERAGE(B45:B64)</f>
        <v>0</v>
      </c>
      <c r="D64" s="24">
        <f>AVERAGE(B15:B64)</f>
        <v>0</v>
      </c>
      <c r="E64" s="9">
        <f>IF(AND(C64&gt;D64,C63&lt;=D63),"COMPRA (cruce alcista)",IF(AND(C64&lt;D64,C63&gt;=D63),"VENTA (cruce bajista)",""))</f>
        <v>0</v>
      </c>
      <c r="F64" s="24">
        <f>MAX(B64-B63,0)</f>
        <v>0</v>
      </c>
      <c r="G64" s="24">
        <f>MAX(B63-B64,0)</f>
        <v>0</v>
      </c>
      <c r="H64" s="26">
        <f>IF(SUM(G51:G64)=0,100,100-100/(1+AVERAGE(F51:F64)/AVERAGE(G51:G64)))</f>
        <v>0</v>
      </c>
      <c r="I64" s="24">
        <f>C64+2*_xlfn.STDEV.S(B45:B64)</f>
        <v>0</v>
      </c>
      <c r="J64" s="24">
        <f>C64-2*_xlfn.STDEV.S(B45:B64)</f>
        <v>0</v>
      </c>
    </row>
    <row r="65" spans="1:10">
      <c r="A65" s="12">
        <f>'1_Precios'!A63</f>
        <v>0</v>
      </c>
      <c r="B65" s="24">
        <f>INDEX('1_Precios'!$B$63:$F$63,MATCH($B$1,'1_Precios'!$B$1:$F$1,0))</f>
        <v>0</v>
      </c>
      <c r="C65" s="24">
        <f>AVERAGE(B46:B65)</f>
        <v>0</v>
      </c>
      <c r="D65" s="24">
        <f>AVERAGE(B16:B65)</f>
        <v>0</v>
      </c>
      <c r="E65" s="9">
        <f>IF(AND(C65&gt;D65,C64&lt;=D64),"COMPRA (cruce alcista)",IF(AND(C65&lt;D65,C64&gt;=D64),"VENTA (cruce bajista)",""))</f>
        <v>0</v>
      </c>
      <c r="F65" s="24">
        <f>MAX(B65-B64,0)</f>
        <v>0</v>
      </c>
      <c r="G65" s="24">
        <f>MAX(B64-B65,0)</f>
        <v>0</v>
      </c>
      <c r="H65" s="26">
        <f>IF(SUM(G52:G65)=0,100,100-100/(1+AVERAGE(F52:F65)/AVERAGE(G52:G65)))</f>
        <v>0</v>
      </c>
      <c r="I65" s="24">
        <f>C65+2*_xlfn.STDEV.S(B46:B65)</f>
        <v>0</v>
      </c>
      <c r="J65" s="24">
        <f>C65-2*_xlfn.STDEV.S(B46:B65)</f>
        <v>0</v>
      </c>
    </row>
    <row r="66" spans="1:10">
      <c r="A66" s="12">
        <f>'1_Precios'!A64</f>
        <v>0</v>
      </c>
      <c r="B66" s="24">
        <f>INDEX('1_Precios'!$B$64:$F$64,MATCH($B$1,'1_Precios'!$B$1:$F$1,0))</f>
        <v>0</v>
      </c>
      <c r="C66" s="24">
        <f>AVERAGE(B47:B66)</f>
        <v>0</v>
      </c>
      <c r="D66" s="24">
        <f>AVERAGE(B17:B66)</f>
        <v>0</v>
      </c>
      <c r="E66" s="9">
        <f>IF(AND(C66&gt;D66,C65&lt;=D65),"COMPRA (cruce alcista)",IF(AND(C66&lt;D66,C65&gt;=D65),"VENTA (cruce bajista)",""))</f>
        <v>0</v>
      </c>
      <c r="F66" s="24">
        <f>MAX(B66-B65,0)</f>
        <v>0</v>
      </c>
      <c r="G66" s="24">
        <f>MAX(B65-B66,0)</f>
        <v>0</v>
      </c>
      <c r="H66" s="26">
        <f>IF(SUM(G53:G66)=0,100,100-100/(1+AVERAGE(F53:F66)/AVERAGE(G53:G66)))</f>
        <v>0</v>
      </c>
      <c r="I66" s="24">
        <f>C66+2*_xlfn.STDEV.S(B47:B66)</f>
        <v>0</v>
      </c>
      <c r="J66" s="24">
        <f>C66-2*_xlfn.STDEV.S(B47:B66)</f>
        <v>0</v>
      </c>
    </row>
    <row r="67" spans="1:10">
      <c r="A67" s="12">
        <f>'1_Precios'!A65</f>
        <v>0</v>
      </c>
      <c r="B67" s="24">
        <f>INDEX('1_Precios'!$B$65:$F$65,MATCH($B$1,'1_Precios'!$B$1:$F$1,0))</f>
        <v>0</v>
      </c>
      <c r="C67" s="24">
        <f>AVERAGE(B48:B67)</f>
        <v>0</v>
      </c>
      <c r="D67" s="24">
        <f>AVERAGE(B18:B67)</f>
        <v>0</v>
      </c>
      <c r="E67" s="9">
        <f>IF(AND(C67&gt;D67,C66&lt;=D66),"COMPRA (cruce alcista)",IF(AND(C67&lt;D67,C66&gt;=D66),"VENTA (cruce bajista)",""))</f>
        <v>0</v>
      </c>
      <c r="F67" s="24">
        <f>MAX(B67-B66,0)</f>
        <v>0</v>
      </c>
      <c r="G67" s="24">
        <f>MAX(B66-B67,0)</f>
        <v>0</v>
      </c>
      <c r="H67" s="26">
        <f>IF(SUM(G54:G67)=0,100,100-100/(1+AVERAGE(F54:F67)/AVERAGE(G54:G67)))</f>
        <v>0</v>
      </c>
      <c r="I67" s="24">
        <f>C67+2*_xlfn.STDEV.S(B48:B67)</f>
        <v>0</v>
      </c>
      <c r="J67" s="24">
        <f>C67-2*_xlfn.STDEV.S(B48:B67)</f>
        <v>0</v>
      </c>
    </row>
    <row r="68" spans="1:10">
      <c r="A68" s="12">
        <f>'1_Precios'!A66</f>
        <v>0</v>
      </c>
      <c r="B68" s="24">
        <f>INDEX('1_Precios'!$B$66:$F$66,MATCH($B$1,'1_Precios'!$B$1:$F$1,0))</f>
        <v>0</v>
      </c>
      <c r="C68" s="24">
        <f>AVERAGE(B49:B68)</f>
        <v>0</v>
      </c>
      <c r="D68" s="24">
        <f>AVERAGE(B19:B68)</f>
        <v>0</v>
      </c>
      <c r="E68" s="9">
        <f>IF(AND(C68&gt;D68,C67&lt;=D67),"COMPRA (cruce alcista)",IF(AND(C68&lt;D68,C67&gt;=D67),"VENTA (cruce bajista)",""))</f>
        <v>0</v>
      </c>
      <c r="F68" s="24">
        <f>MAX(B68-B67,0)</f>
        <v>0</v>
      </c>
      <c r="G68" s="24">
        <f>MAX(B67-B68,0)</f>
        <v>0</v>
      </c>
      <c r="H68" s="26">
        <f>IF(SUM(G55:G68)=0,100,100-100/(1+AVERAGE(F55:F68)/AVERAGE(G55:G68)))</f>
        <v>0</v>
      </c>
      <c r="I68" s="24">
        <f>C68+2*_xlfn.STDEV.S(B49:B68)</f>
        <v>0</v>
      </c>
      <c r="J68" s="24">
        <f>C68-2*_xlfn.STDEV.S(B49:B68)</f>
        <v>0</v>
      </c>
    </row>
    <row r="69" spans="1:10">
      <c r="A69" s="12">
        <f>'1_Precios'!A67</f>
        <v>0</v>
      </c>
      <c r="B69" s="24">
        <f>INDEX('1_Precios'!$B$67:$F$67,MATCH($B$1,'1_Precios'!$B$1:$F$1,0))</f>
        <v>0</v>
      </c>
      <c r="C69" s="24">
        <f>AVERAGE(B50:B69)</f>
        <v>0</v>
      </c>
      <c r="D69" s="24">
        <f>AVERAGE(B20:B69)</f>
        <v>0</v>
      </c>
      <c r="E69" s="9">
        <f>IF(AND(C69&gt;D69,C68&lt;=D68),"COMPRA (cruce alcista)",IF(AND(C69&lt;D69,C68&gt;=D68),"VENTA (cruce bajista)",""))</f>
        <v>0</v>
      </c>
      <c r="F69" s="24">
        <f>MAX(B69-B68,0)</f>
        <v>0</v>
      </c>
      <c r="G69" s="24">
        <f>MAX(B68-B69,0)</f>
        <v>0</v>
      </c>
      <c r="H69" s="26">
        <f>IF(SUM(G56:G69)=0,100,100-100/(1+AVERAGE(F56:F69)/AVERAGE(G56:G69)))</f>
        <v>0</v>
      </c>
      <c r="I69" s="24">
        <f>C69+2*_xlfn.STDEV.S(B50:B69)</f>
        <v>0</v>
      </c>
      <c r="J69" s="24">
        <f>C69-2*_xlfn.STDEV.S(B50:B69)</f>
        <v>0</v>
      </c>
    </row>
    <row r="70" spans="1:10">
      <c r="A70" s="12">
        <f>'1_Precios'!A68</f>
        <v>0</v>
      </c>
      <c r="B70" s="24">
        <f>INDEX('1_Precios'!$B$68:$F$68,MATCH($B$1,'1_Precios'!$B$1:$F$1,0))</f>
        <v>0</v>
      </c>
      <c r="C70" s="24">
        <f>AVERAGE(B51:B70)</f>
        <v>0</v>
      </c>
      <c r="D70" s="24">
        <f>AVERAGE(B21:B70)</f>
        <v>0</v>
      </c>
      <c r="E70" s="9">
        <f>IF(AND(C70&gt;D70,C69&lt;=D69),"COMPRA (cruce alcista)",IF(AND(C70&lt;D70,C69&gt;=D69),"VENTA (cruce bajista)",""))</f>
        <v>0</v>
      </c>
      <c r="F70" s="24">
        <f>MAX(B70-B69,0)</f>
        <v>0</v>
      </c>
      <c r="G70" s="24">
        <f>MAX(B69-B70,0)</f>
        <v>0</v>
      </c>
      <c r="H70" s="26">
        <f>IF(SUM(G57:G70)=0,100,100-100/(1+AVERAGE(F57:F70)/AVERAGE(G57:G70)))</f>
        <v>0</v>
      </c>
      <c r="I70" s="24">
        <f>C70+2*_xlfn.STDEV.S(B51:B70)</f>
        <v>0</v>
      </c>
      <c r="J70" s="24">
        <f>C70-2*_xlfn.STDEV.S(B51:B70)</f>
        <v>0</v>
      </c>
    </row>
    <row r="71" spans="1:10">
      <c r="A71" s="12">
        <f>'1_Precios'!A69</f>
        <v>0</v>
      </c>
      <c r="B71" s="24">
        <f>INDEX('1_Precios'!$B$69:$F$69,MATCH($B$1,'1_Precios'!$B$1:$F$1,0))</f>
        <v>0</v>
      </c>
      <c r="C71" s="24">
        <f>AVERAGE(B52:B71)</f>
        <v>0</v>
      </c>
      <c r="D71" s="24">
        <f>AVERAGE(B22:B71)</f>
        <v>0</v>
      </c>
      <c r="E71" s="9">
        <f>IF(AND(C71&gt;D71,C70&lt;=D70),"COMPRA (cruce alcista)",IF(AND(C71&lt;D71,C70&gt;=D70),"VENTA (cruce bajista)",""))</f>
        <v>0</v>
      </c>
      <c r="F71" s="24">
        <f>MAX(B71-B70,0)</f>
        <v>0</v>
      </c>
      <c r="G71" s="24">
        <f>MAX(B70-B71,0)</f>
        <v>0</v>
      </c>
      <c r="H71" s="26">
        <f>IF(SUM(G58:G71)=0,100,100-100/(1+AVERAGE(F58:F71)/AVERAGE(G58:G71)))</f>
        <v>0</v>
      </c>
      <c r="I71" s="24">
        <f>C71+2*_xlfn.STDEV.S(B52:B71)</f>
        <v>0</v>
      </c>
      <c r="J71" s="24">
        <f>C71-2*_xlfn.STDEV.S(B52:B71)</f>
        <v>0</v>
      </c>
    </row>
    <row r="72" spans="1:10">
      <c r="A72" s="12">
        <f>'1_Precios'!A70</f>
        <v>0</v>
      </c>
      <c r="B72" s="24">
        <f>INDEX('1_Precios'!$B$70:$F$70,MATCH($B$1,'1_Precios'!$B$1:$F$1,0))</f>
        <v>0</v>
      </c>
      <c r="C72" s="24">
        <f>AVERAGE(B53:B72)</f>
        <v>0</v>
      </c>
      <c r="D72" s="24">
        <f>AVERAGE(B23:B72)</f>
        <v>0</v>
      </c>
      <c r="E72" s="9">
        <f>IF(AND(C72&gt;D72,C71&lt;=D71),"COMPRA (cruce alcista)",IF(AND(C72&lt;D72,C71&gt;=D71),"VENTA (cruce bajista)",""))</f>
        <v>0</v>
      </c>
      <c r="F72" s="24">
        <f>MAX(B72-B71,0)</f>
        <v>0</v>
      </c>
      <c r="G72" s="24">
        <f>MAX(B71-B72,0)</f>
        <v>0</v>
      </c>
      <c r="H72" s="26">
        <f>IF(SUM(G59:G72)=0,100,100-100/(1+AVERAGE(F59:F72)/AVERAGE(G59:G72)))</f>
        <v>0</v>
      </c>
      <c r="I72" s="24">
        <f>C72+2*_xlfn.STDEV.S(B53:B72)</f>
        <v>0</v>
      </c>
      <c r="J72" s="24">
        <f>C72-2*_xlfn.STDEV.S(B53:B72)</f>
        <v>0</v>
      </c>
    </row>
    <row r="73" spans="1:10">
      <c r="A73" s="12">
        <f>'1_Precios'!A71</f>
        <v>0</v>
      </c>
      <c r="B73" s="24">
        <f>INDEX('1_Precios'!$B$71:$F$71,MATCH($B$1,'1_Precios'!$B$1:$F$1,0))</f>
        <v>0</v>
      </c>
      <c r="C73" s="24">
        <f>AVERAGE(B54:B73)</f>
        <v>0</v>
      </c>
      <c r="D73" s="24">
        <f>AVERAGE(B24:B73)</f>
        <v>0</v>
      </c>
      <c r="E73" s="9">
        <f>IF(AND(C73&gt;D73,C72&lt;=D72),"COMPRA (cruce alcista)",IF(AND(C73&lt;D73,C72&gt;=D72),"VENTA (cruce bajista)",""))</f>
        <v>0</v>
      </c>
      <c r="F73" s="24">
        <f>MAX(B73-B72,0)</f>
        <v>0</v>
      </c>
      <c r="G73" s="24">
        <f>MAX(B72-B73,0)</f>
        <v>0</v>
      </c>
      <c r="H73" s="26">
        <f>IF(SUM(G60:G73)=0,100,100-100/(1+AVERAGE(F60:F73)/AVERAGE(G60:G73)))</f>
        <v>0</v>
      </c>
      <c r="I73" s="24">
        <f>C73+2*_xlfn.STDEV.S(B54:B73)</f>
        <v>0</v>
      </c>
      <c r="J73" s="24">
        <f>C73-2*_xlfn.STDEV.S(B54:B73)</f>
        <v>0</v>
      </c>
    </row>
    <row r="74" spans="1:10">
      <c r="A74" s="12">
        <f>'1_Precios'!A72</f>
        <v>0</v>
      </c>
      <c r="B74" s="24">
        <f>INDEX('1_Precios'!$B$72:$F$72,MATCH($B$1,'1_Precios'!$B$1:$F$1,0))</f>
        <v>0</v>
      </c>
      <c r="C74" s="24">
        <f>AVERAGE(B55:B74)</f>
        <v>0</v>
      </c>
      <c r="D74" s="24">
        <f>AVERAGE(B25:B74)</f>
        <v>0</v>
      </c>
      <c r="E74" s="9">
        <f>IF(AND(C74&gt;D74,C73&lt;=D73),"COMPRA (cruce alcista)",IF(AND(C74&lt;D74,C73&gt;=D73),"VENTA (cruce bajista)",""))</f>
        <v>0</v>
      </c>
      <c r="F74" s="24">
        <f>MAX(B74-B73,0)</f>
        <v>0</v>
      </c>
      <c r="G74" s="24">
        <f>MAX(B73-B74,0)</f>
        <v>0</v>
      </c>
      <c r="H74" s="26">
        <f>IF(SUM(G61:G74)=0,100,100-100/(1+AVERAGE(F61:F74)/AVERAGE(G61:G74)))</f>
        <v>0</v>
      </c>
      <c r="I74" s="24">
        <f>C74+2*_xlfn.STDEV.S(B55:B74)</f>
        <v>0</v>
      </c>
      <c r="J74" s="24">
        <f>C74-2*_xlfn.STDEV.S(B55:B74)</f>
        <v>0</v>
      </c>
    </row>
    <row r="75" spans="1:10">
      <c r="A75" s="12">
        <f>'1_Precios'!A73</f>
        <v>0</v>
      </c>
      <c r="B75" s="24">
        <f>INDEX('1_Precios'!$B$73:$F$73,MATCH($B$1,'1_Precios'!$B$1:$F$1,0))</f>
        <v>0</v>
      </c>
      <c r="C75" s="24">
        <f>AVERAGE(B56:B75)</f>
        <v>0</v>
      </c>
      <c r="D75" s="24">
        <f>AVERAGE(B26:B75)</f>
        <v>0</v>
      </c>
      <c r="E75" s="9">
        <f>IF(AND(C75&gt;D75,C74&lt;=D74),"COMPRA (cruce alcista)",IF(AND(C75&lt;D75,C74&gt;=D74),"VENTA (cruce bajista)",""))</f>
        <v>0</v>
      </c>
      <c r="F75" s="24">
        <f>MAX(B75-B74,0)</f>
        <v>0</v>
      </c>
      <c r="G75" s="24">
        <f>MAX(B74-B75,0)</f>
        <v>0</v>
      </c>
      <c r="H75" s="26">
        <f>IF(SUM(G62:G75)=0,100,100-100/(1+AVERAGE(F62:F75)/AVERAGE(G62:G75)))</f>
        <v>0</v>
      </c>
      <c r="I75" s="24">
        <f>C75+2*_xlfn.STDEV.S(B56:B75)</f>
        <v>0</v>
      </c>
      <c r="J75" s="24">
        <f>C75-2*_xlfn.STDEV.S(B56:B75)</f>
        <v>0</v>
      </c>
    </row>
    <row r="76" spans="1:10">
      <c r="A76" s="12">
        <f>'1_Precios'!A74</f>
        <v>0</v>
      </c>
      <c r="B76" s="24">
        <f>INDEX('1_Precios'!$B$74:$F$74,MATCH($B$1,'1_Precios'!$B$1:$F$1,0))</f>
        <v>0</v>
      </c>
      <c r="C76" s="24">
        <f>AVERAGE(B57:B76)</f>
        <v>0</v>
      </c>
      <c r="D76" s="24">
        <f>AVERAGE(B27:B76)</f>
        <v>0</v>
      </c>
      <c r="E76" s="9">
        <f>IF(AND(C76&gt;D76,C75&lt;=D75),"COMPRA (cruce alcista)",IF(AND(C76&lt;D76,C75&gt;=D75),"VENTA (cruce bajista)",""))</f>
        <v>0</v>
      </c>
      <c r="F76" s="24">
        <f>MAX(B76-B75,0)</f>
        <v>0</v>
      </c>
      <c r="G76" s="24">
        <f>MAX(B75-B76,0)</f>
        <v>0</v>
      </c>
      <c r="H76" s="26">
        <f>IF(SUM(G63:G76)=0,100,100-100/(1+AVERAGE(F63:F76)/AVERAGE(G63:G76)))</f>
        <v>0</v>
      </c>
      <c r="I76" s="24">
        <f>C76+2*_xlfn.STDEV.S(B57:B76)</f>
        <v>0</v>
      </c>
      <c r="J76" s="24">
        <f>C76-2*_xlfn.STDEV.S(B57:B76)</f>
        <v>0</v>
      </c>
    </row>
    <row r="77" spans="1:10">
      <c r="A77" s="12">
        <f>'1_Precios'!A75</f>
        <v>0</v>
      </c>
      <c r="B77" s="24">
        <f>INDEX('1_Precios'!$B$75:$F$75,MATCH($B$1,'1_Precios'!$B$1:$F$1,0))</f>
        <v>0</v>
      </c>
      <c r="C77" s="24">
        <f>AVERAGE(B58:B77)</f>
        <v>0</v>
      </c>
      <c r="D77" s="24">
        <f>AVERAGE(B28:B77)</f>
        <v>0</v>
      </c>
      <c r="E77" s="9">
        <f>IF(AND(C77&gt;D77,C76&lt;=D76),"COMPRA (cruce alcista)",IF(AND(C77&lt;D77,C76&gt;=D76),"VENTA (cruce bajista)",""))</f>
        <v>0</v>
      </c>
      <c r="F77" s="24">
        <f>MAX(B77-B76,0)</f>
        <v>0</v>
      </c>
      <c r="G77" s="24">
        <f>MAX(B76-B77,0)</f>
        <v>0</v>
      </c>
      <c r="H77" s="26">
        <f>IF(SUM(G64:G77)=0,100,100-100/(1+AVERAGE(F64:F77)/AVERAGE(G64:G77)))</f>
        <v>0</v>
      </c>
      <c r="I77" s="24">
        <f>C77+2*_xlfn.STDEV.S(B58:B77)</f>
        <v>0</v>
      </c>
      <c r="J77" s="24">
        <f>C77-2*_xlfn.STDEV.S(B58:B77)</f>
        <v>0</v>
      </c>
    </row>
    <row r="78" spans="1:10">
      <c r="A78" s="12">
        <f>'1_Precios'!A76</f>
        <v>0</v>
      </c>
      <c r="B78" s="24">
        <f>INDEX('1_Precios'!$B$76:$F$76,MATCH($B$1,'1_Precios'!$B$1:$F$1,0))</f>
        <v>0</v>
      </c>
      <c r="C78" s="24">
        <f>AVERAGE(B59:B78)</f>
        <v>0</v>
      </c>
      <c r="D78" s="24">
        <f>AVERAGE(B29:B78)</f>
        <v>0</v>
      </c>
      <c r="E78" s="9">
        <f>IF(AND(C78&gt;D78,C77&lt;=D77),"COMPRA (cruce alcista)",IF(AND(C78&lt;D78,C77&gt;=D77),"VENTA (cruce bajista)",""))</f>
        <v>0</v>
      </c>
      <c r="F78" s="24">
        <f>MAX(B78-B77,0)</f>
        <v>0</v>
      </c>
      <c r="G78" s="24">
        <f>MAX(B77-B78,0)</f>
        <v>0</v>
      </c>
      <c r="H78" s="26">
        <f>IF(SUM(G65:G78)=0,100,100-100/(1+AVERAGE(F65:F78)/AVERAGE(G65:G78)))</f>
        <v>0</v>
      </c>
      <c r="I78" s="24">
        <f>C78+2*_xlfn.STDEV.S(B59:B78)</f>
        <v>0</v>
      </c>
      <c r="J78" s="24">
        <f>C78-2*_xlfn.STDEV.S(B59:B78)</f>
        <v>0</v>
      </c>
    </row>
    <row r="79" spans="1:10">
      <c r="A79" s="12">
        <f>'1_Precios'!A77</f>
        <v>0</v>
      </c>
      <c r="B79" s="24">
        <f>INDEX('1_Precios'!$B$77:$F$77,MATCH($B$1,'1_Precios'!$B$1:$F$1,0))</f>
        <v>0</v>
      </c>
      <c r="C79" s="24">
        <f>AVERAGE(B60:B79)</f>
        <v>0</v>
      </c>
      <c r="D79" s="24">
        <f>AVERAGE(B30:B79)</f>
        <v>0</v>
      </c>
      <c r="E79" s="9">
        <f>IF(AND(C79&gt;D79,C78&lt;=D78),"COMPRA (cruce alcista)",IF(AND(C79&lt;D79,C78&gt;=D78),"VENTA (cruce bajista)",""))</f>
        <v>0</v>
      </c>
      <c r="F79" s="24">
        <f>MAX(B79-B78,0)</f>
        <v>0</v>
      </c>
      <c r="G79" s="24">
        <f>MAX(B78-B79,0)</f>
        <v>0</v>
      </c>
      <c r="H79" s="26">
        <f>IF(SUM(G66:G79)=0,100,100-100/(1+AVERAGE(F66:F79)/AVERAGE(G66:G79)))</f>
        <v>0</v>
      </c>
      <c r="I79" s="24">
        <f>C79+2*_xlfn.STDEV.S(B60:B79)</f>
        <v>0</v>
      </c>
      <c r="J79" s="24">
        <f>C79-2*_xlfn.STDEV.S(B60:B79)</f>
        <v>0</v>
      </c>
    </row>
    <row r="80" spans="1:10">
      <c r="A80" s="12">
        <f>'1_Precios'!A78</f>
        <v>0</v>
      </c>
      <c r="B80" s="24">
        <f>INDEX('1_Precios'!$B$78:$F$78,MATCH($B$1,'1_Precios'!$B$1:$F$1,0))</f>
        <v>0</v>
      </c>
      <c r="C80" s="24">
        <f>AVERAGE(B61:B80)</f>
        <v>0</v>
      </c>
      <c r="D80" s="24">
        <f>AVERAGE(B31:B80)</f>
        <v>0</v>
      </c>
      <c r="E80" s="9">
        <f>IF(AND(C80&gt;D80,C79&lt;=D79),"COMPRA (cruce alcista)",IF(AND(C80&lt;D80,C79&gt;=D79),"VENTA (cruce bajista)",""))</f>
        <v>0</v>
      </c>
      <c r="F80" s="24">
        <f>MAX(B80-B79,0)</f>
        <v>0</v>
      </c>
      <c r="G80" s="24">
        <f>MAX(B79-B80,0)</f>
        <v>0</v>
      </c>
      <c r="H80" s="26">
        <f>IF(SUM(G67:G80)=0,100,100-100/(1+AVERAGE(F67:F80)/AVERAGE(G67:G80)))</f>
        <v>0</v>
      </c>
      <c r="I80" s="24">
        <f>C80+2*_xlfn.STDEV.S(B61:B80)</f>
        <v>0</v>
      </c>
      <c r="J80" s="24">
        <f>C80-2*_xlfn.STDEV.S(B61:B80)</f>
        <v>0</v>
      </c>
    </row>
    <row r="81" spans="1:10">
      <c r="A81" s="12">
        <f>'1_Precios'!A79</f>
        <v>0</v>
      </c>
      <c r="B81" s="24">
        <f>INDEX('1_Precios'!$B$79:$F$79,MATCH($B$1,'1_Precios'!$B$1:$F$1,0))</f>
        <v>0</v>
      </c>
      <c r="C81" s="24">
        <f>AVERAGE(B62:B81)</f>
        <v>0</v>
      </c>
      <c r="D81" s="24">
        <f>AVERAGE(B32:B81)</f>
        <v>0</v>
      </c>
      <c r="E81" s="9">
        <f>IF(AND(C81&gt;D81,C80&lt;=D80),"COMPRA (cruce alcista)",IF(AND(C81&lt;D81,C80&gt;=D80),"VENTA (cruce bajista)",""))</f>
        <v>0</v>
      </c>
      <c r="F81" s="24">
        <f>MAX(B81-B80,0)</f>
        <v>0</v>
      </c>
      <c r="G81" s="24">
        <f>MAX(B80-B81,0)</f>
        <v>0</v>
      </c>
      <c r="H81" s="26">
        <f>IF(SUM(G68:G81)=0,100,100-100/(1+AVERAGE(F68:F81)/AVERAGE(G68:G81)))</f>
        <v>0</v>
      </c>
      <c r="I81" s="24">
        <f>C81+2*_xlfn.STDEV.S(B62:B81)</f>
        <v>0</v>
      </c>
      <c r="J81" s="24">
        <f>C81-2*_xlfn.STDEV.S(B62:B81)</f>
        <v>0</v>
      </c>
    </row>
    <row r="82" spans="1:10">
      <c r="A82" s="12">
        <f>'1_Precios'!A80</f>
        <v>0</v>
      </c>
      <c r="B82" s="24">
        <f>INDEX('1_Precios'!$B$80:$F$80,MATCH($B$1,'1_Precios'!$B$1:$F$1,0))</f>
        <v>0</v>
      </c>
      <c r="C82" s="24">
        <f>AVERAGE(B63:B82)</f>
        <v>0</v>
      </c>
      <c r="D82" s="24">
        <f>AVERAGE(B33:B82)</f>
        <v>0</v>
      </c>
      <c r="E82" s="9">
        <f>IF(AND(C82&gt;D82,C81&lt;=D81),"COMPRA (cruce alcista)",IF(AND(C82&lt;D82,C81&gt;=D81),"VENTA (cruce bajista)",""))</f>
        <v>0</v>
      </c>
      <c r="F82" s="24">
        <f>MAX(B82-B81,0)</f>
        <v>0</v>
      </c>
      <c r="G82" s="24">
        <f>MAX(B81-B82,0)</f>
        <v>0</v>
      </c>
      <c r="H82" s="26">
        <f>IF(SUM(G69:G82)=0,100,100-100/(1+AVERAGE(F69:F82)/AVERAGE(G69:G82)))</f>
        <v>0</v>
      </c>
      <c r="I82" s="24">
        <f>C82+2*_xlfn.STDEV.S(B63:B82)</f>
        <v>0</v>
      </c>
      <c r="J82" s="24">
        <f>C82-2*_xlfn.STDEV.S(B63:B82)</f>
        <v>0</v>
      </c>
    </row>
    <row r="83" spans="1:10">
      <c r="A83" s="12">
        <f>'1_Precios'!A81</f>
        <v>0</v>
      </c>
      <c r="B83" s="24">
        <f>INDEX('1_Precios'!$B$81:$F$81,MATCH($B$1,'1_Precios'!$B$1:$F$1,0))</f>
        <v>0</v>
      </c>
      <c r="C83" s="24">
        <f>AVERAGE(B64:B83)</f>
        <v>0</v>
      </c>
      <c r="D83" s="24">
        <f>AVERAGE(B34:B83)</f>
        <v>0</v>
      </c>
      <c r="E83" s="9">
        <f>IF(AND(C83&gt;D83,C82&lt;=D82),"COMPRA (cruce alcista)",IF(AND(C83&lt;D83,C82&gt;=D82),"VENTA (cruce bajista)",""))</f>
        <v>0</v>
      </c>
      <c r="F83" s="24">
        <f>MAX(B83-B82,0)</f>
        <v>0</v>
      </c>
      <c r="G83" s="24">
        <f>MAX(B82-B83,0)</f>
        <v>0</v>
      </c>
      <c r="H83" s="26">
        <f>IF(SUM(G70:G83)=0,100,100-100/(1+AVERAGE(F70:F83)/AVERAGE(G70:G83)))</f>
        <v>0</v>
      </c>
      <c r="I83" s="24">
        <f>C83+2*_xlfn.STDEV.S(B64:B83)</f>
        <v>0</v>
      </c>
      <c r="J83" s="24">
        <f>C83-2*_xlfn.STDEV.S(B64:B83)</f>
        <v>0</v>
      </c>
    </row>
    <row r="84" spans="1:10">
      <c r="A84" s="12">
        <f>'1_Precios'!A82</f>
        <v>0</v>
      </c>
      <c r="B84" s="24">
        <f>INDEX('1_Precios'!$B$82:$F$82,MATCH($B$1,'1_Precios'!$B$1:$F$1,0))</f>
        <v>0</v>
      </c>
      <c r="C84" s="24">
        <f>AVERAGE(B65:B84)</f>
        <v>0</v>
      </c>
      <c r="D84" s="24">
        <f>AVERAGE(B35:B84)</f>
        <v>0</v>
      </c>
      <c r="E84" s="9">
        <f>IF(AND(C84&gt;D84,C83&lt;=D83),"COMPRA (cruce alcista)",IF(AND(C84&lt;D84,C83&gt;=D83),"VENTA (cruce bajista)",""))</f>
        <v>0</v>
      </c>
      <c r="F84" s="24">
        <f>MAX(B84-B83,0)</f>
        <v>0</v>
      </c>
      <c r="G84" s="24">
        <f>MAX(B83-B84,0)</f>
        <v>0</v>
      </c>
      <c r="H84" s="26">
        <f>IF(SUM(G71:G84)=0,100,100-100/(1+AVERAGE(F71:F84)/AVERAGE(G71:G84)))</f>
        <v>0</v>
      </c>
      <c r="I84" s="24">
        <f>C84+2*_xlfn.STDEV.S(B65:B84)</f>
        <v>0</v>
      </c>
      <c r="J84" s="24">
        <f>C84-2*_xlfn.STDEV.S(B65:B84)</f>
        <v>0</v>
      </c>
    </row>
    <row r="85" spans="1:10">
      <c r="A85" s="12">
        <f>'1_Precios'!A83</f>
        <v>0</v>
      </c>
      <c r="B85" s="24">
        <f>INDEX('1_Precios'!$B$83:$F$83,MATCH($B$1,'1_Precios'!$B$1:$F$1,0))</f>
        <v>0</v>
      </c>
      <c r="C85" s="24">
        <f>AVERAGE(B66:B85)</f>
        <v>0</v>
      </c>
      <c r="D85" s="24">
        <f>AVERAGE(B36:B85)</f>
        <v>0</v>
      </c>
      <c r="E85" s="9">
        <f>IF(AND(C85&gt;D85,C84&lt;=D84),"COMPRA (cruce alcista)",IF(AND(C85&lt;D85,C84&gt;=D84),"VENTA (cruce bajista)",""))</f>
        <v>0</v>
      </c>
      <c r="F85" s="24">
        <f>MAX(B85-B84,0)</f>
        <v>0</v>
      </c>
      <c r="G85" s="24">
        <f>MAX(B84-B85,0)</f>
        <v>0</v>
      </c>
      <c r="H85" s="26">
        <f>IF(SUM(G72:G85)=0,100,100-100/(1+AVERAGE(F72:F85)/AVERAGE(G72:G85)))</f>
        <v>0</v>
      </c>
      <c r="I85" s="24">
        <f>C85+2*_xlfn.STDEV.S(B66:B85)</f>
        <v>0</v>
      </c>
      <c r="J85" s="24">
        <f>C85-2*_xlfn.STDEV.S(B66:B85)</f>
        <v>0</v>
      </c>
    </row>
    <row r="86" spans="1:10">
      <c r="A86" s="12">
        <f>'1_Precios'!A84</f>
        <v>0</v>
      </c>
      <c r="B86" s="24">
        <f>INDEX('1_Precios'!$B$84:$F$84,MATCH($B$1,'1_Precios'!$B$1:$F$1,0))</f>
        <v>0</v>
      </c>
      <c r="C86" s="24">
        <f>AVERAGE(B67:B86)</f>
        <v>0</v>
      </c>
      <c r="D86" s="24">
        <f>AVERAGE(B37:B86)</f>
        <v>0</v>
      </c>
      <c r="E86" s="9">
        <f>IF(AND(C86&gt;D86,C85&lt;=D85),"COMPRA (cruce alcista)",IF(AND(C86&lt;D86,C85&gt;=D85),"VENTA (cruce bajista)",""))</f>
        <v>0</v>
      </c>
      <c r="F86" s="24">
        <f>MAX(B86-B85,0)</f>
        <v>0</v>
      </c>
      <c r="G86" s="24">
        <f>MAX(B85-B86,0)</f>
        <v>0</v>
      </c>
      <c r="H86" s="26">
        <f>IF(SUM(G73:G86)=0,100,100-100/(1+AVERAGE(F73:F86)/AVERAGE(G73:G86)))</f>
        <v>0</v>
      </c>
      <c r="I86" s="24">
        <f>C86+2*_xlfn.STDEV.S(B67:B86)</f>
        <v>0</v>
      </c>
      <c r="J86" s="24">
        <f>C86-2*_xlfn.STDEV.S(B67:B86)</f>
        <v>0</v>
      </c>
    </row>
    <row r="87" spans="1:10">
      <c r="A87" s="12">
        <f>'1_Precios'!A85</f>
        <v>0</v>
      </c>
      <c r="B87" s="24">
        <f>INDEX('1_Precios'!$B$85:$F$85,MATCH($B$1,'1_Precios'!$B$1:$F$1,0))</f>
        <v>0</v>
      </c>
      <c r="C87" s="24">
        <f>AVERAGE(B68:B87)</f>
        <v>0</v>
      </c>
      <c r="D87" s="24">
        <f>AVERAGE(B38:B87)</f>
        <v>0</v>
      </c>
      <c r="E87" s="9">
        <f>IF(AND(C87&gt;D87,C86&lt;=D86),"COMPRA (cruce alcista)",IF(AND(C87&lt;D87,C86&gt;=D86),"VENTA (cruce bajista)",""))</f>
        <v>0</v>
      </c>
      <c r="F87" s="24">
        <f>MAX(B87-B86,0)</f>
        <v>0</v>
      </c>
      <c r="G87" s="24">
        <f>MAX(B86-B87,0)</f>
        <v>0</v>
      </c>
      <c r="H87" s="26">
        <f>IF(SUM(G74:G87)=0,100,100-100/(1+AVERAGE(F74:F87)/AVERAGE(G74:G87)))</f>
        <v>0</v>
      </c>
      <c r="I87" s="24">
        <f>C87+2*_xlfn.STDEV.S(B68:B87)</f>
        <v>0</v>
      </c>
      <c r="J87" s="24">
        <f>C87-2*_xlfn.STDEV.S(B68:B87)</f>
        <v>0</v>
      </c>
    </row>
    <row r="88" spans="1:10">
      <c r="A88" s="12">
        <f>'1_Precios'!A86</f>
        <v>0</v>
      </c>
      <c r="B88" s="24">
        <f>INDEX('1_Precios'!$B$86:$F$86,MATCH($B$1,'1_Precios'!$B$1:$F$1,0))</f>
        <v>0</v>
      </c>
      <c r="C88" s="24">
        <f>AVERAGE(B69:B88)</f>
        <v>0</v>
      </c>
      <c r="D88" s="24">
        <f>AVERAGE(B39:B88)</f>
        <v>0</v>
      </c>
      <c r="E88" s="9">
        <f>IF(AND(C88&gt;D88,C87&lt;=D87),"COMPRA (cruce alcista)",IF(AND(C88&lt;D88,C87&gt;=D87),"VENTA (cruce bajista)",""))</f>
        <v>0</v>
      </c>
      <c r="F88" s="24">
        <f>MAX(B88-B87,0)</f>
        <v>0</v>
      </c>
      <c r="G88" s="24">
        <f>MAX(B87-B88,0)</f>
        <v>0</v>
      </c>
      <c r="H88" s="26">
        <f>IF(SUM(G75:G88)=0,100,100-100/(1+AVERAGE(F75:F88)/AVERAGE(G75:G88)))</f>
        <v>0</v>
      </c>
      <c r="I88" s="24">
        <f>C88+2*_xlfn.STDEV.S(B69:B88)</f>
        <v>0</v>
      </c>
      <c r="J88" s="24">
        <f>C88-2*_xlfn.STDEV.S(B69:B88)</f>
        <v>0</v>
      </c>
    </row>
    <row r="89" spans="1:10">
      <c r="A89" s="12">
        <f>'1_Precios'!A87</f>
        <v>0</v>
      </c>
      <c r="B89" s="24">
        <f>INDEX('1_Precios'!$B$87:$F$87,MATCH($B$1,'1_Precios'!$B$1:$F$1,0))</f>
        <v>0</v>
      </c>
      <c r="C89" s="24">
        <f>AVERAGE(B70:B89)</f>
        <v>0</v>
      </c>
      <c r="D89" s="24">
        <f>AVERAGE(B40:B89)</f>
        <v>0</v>
      </c>
      <c r="E89" s="9">
        <f>IF(AND(C89&gt;D89,C88&lt;=D88),"COMPRA (cruce alcista)",IF(AND(C89&lt;D89,C88&gt;=D88),"VENTA (cruce bajista)",""))</f>
        <v>0</v>
      </c>
      <c r="F89" s="24">
        <f>MAX(B89-B88,0)</f>
        <v>0</v>
      </c>
      <c r="G89" s="24">
        <f>MAX(B88-B89,0)</f>
        <v>0</v>
      </c>
      <c r="H89" s="26">
        <f>IF(SUM(G76:G89)=0,100,100-100/(1+AVERAGE(F76:F89)/AVERAGE(G76:G89)))</f>
        <v>0</v>
      </c>
      <c r="I89" s="24">
        <f>C89+2*_xlfn.STDEV.S(B70:B89)</f>
        <v>0</v>
      </c>
      <c r="J89" s="24">
        <f>C89-2*_xlfn.STDEV.S(B70:B89)</f>
        <v>0</v>
      </c>
    </row>
    <row r="90" spans="1:10">
      <c r="A90" s="12">
        <f>'1_Precios'!A88</f>
        <v>0</v>
      </c>
      <c r="B90" s="24">
        <f>INDEX('1_Precios'!$B$88:$F$88,MATCH($B$1,'1_Precios'!$B$1:$F$1,0))</f>
        <v>0</v>
      </c>
      <c r="C90" s="24">
        <f>AVERAGE(B71:B90)</f>
        <v>0</v>
      </c>
      <c r="D90" s="24">
        <f>AVERAGE(B41:B90)</f>
        <v>0</v>
      </c>
      <c r="E90" s="9">
        <f>IF(AND(C90&gt;D90,C89&lt;=D89),"COMPRA (cruce alcista)",IF(AND(C90&lt;D90,C89&gt;=D89),"VENTA (cruce bajista)",""))</f>
        <v>0</v>
      </c>
      <c r="F90" s="24">
        <f>MAX(B90-B89,0)</f>
        <v>0</v>
      </c>
      <c r="G90" s="24">
        <f>MAX(B89-B90,0)</f>
        <v>0</v>
      </c>
      <c r="H90" s="26">
        <f>IF(SUM(G77:G90)=0,100,100-100/(1+AVERAGE(F77:F90)/AVERAGE(G77:G90)))</f>
        <v>0</v>
      </c>
      <c r="I90" s="24">
        <f>C90+2*_xlfn.STDEV.S(B71:B90)</f>
        <v>0</v>
      </c>
      <c r="J90" s="24">
        <f>C90-2*_xlfn.STDEV.S(B71:B90)</f>
        <v>0</v>
      </c>
    </row>
    <row r="91" spans="1:10">
      <c r="A91" s="12">
        <f>'1_Precios'!A89</f>
        <v>0</v>
      </c>
      <c r="B91" s="24">
        <f>INDEX('1_Precios'!$B$89:$F$89,MATCH($B$1,'1_Precios'!$B$1:$F$1,0))</f>
        <v>0</v>
      </c>
      <c r="C91" s="24">
        <f>AVERAGE(B72:B91)</f>
        <v>0</v>
      </c>
      <c r="D91" s="24">
        <f>AVERAGE(B42:B91)</f>
        <v>0</v>
      </c>
      <c r="E91" s="9">
        <f>IF(AND(C91&gt;D91,C90&lt;=D90),"COMPRA (cruce alcista)",IF(AND(C91&lt;D91,C90&gt;=D90),"VENTA (cruce bajista)",""))</f>
        <v>0</v>
      </c>
      <c r="F91" s="24">
        <f>MAX(B91-B90,0)</f>
        <v>0</v>
      </c>
      <c r="G91" s="24">
        <f>MAX(B90-B91,0)</f>
        <v>0</v>
      </c>
      <c r="H91" s="26">
        <f>IF(SUM(G78:G91)=0,100,100-100/(1+AVERAGE(F78:F91)/AVERAGE(G78:G91)))</f>
        <v>0</v>
      </c>
      <c r="I91" s="24">
        <f>C91+2*_xlfn.STDEV.S(B72:B91)</f>
        <v>0</v>
      </c>
      <c r="J91" s="24">
        <f>C91-2*_xlfn.STDEV.S(B72:B91)</f>
        <v>0</v>
      </c>
    </row>
    <row r="92" spans="1:10">
      <c r="A92" s="12">
        <f>'1_Precios'!A90</f>
        <v>0</v>
      </c>
      <c r="B92" s="24">
        <f>INDEX('1_Precios'!$B$90:$F$90,MATCH($B$1,'1_Precios'!$B$1:$F$1,0))</f>
        <v>0</v>
      </c>
      <c r="C92" s="24">
        <f>AVERAGE(B73:B92)</f>
        <v>0</v>
      </c>
      <c r="D92" s="24">
        <f>AVERAGE(B43:B92)</f>
        <v>0</v>
      </c>
      <c r="E92" s="9">
        <f>IF(AND(C92&gt;D92,C91&lt;=D91),"COMPRA (cruce alcista)",IF(AND(C92&lt;D92,C91&gt;=D91),"VENTA (cruce bajista)",""))</f>
        <v>0</v>
      </c>
      <c r="F92" s="24">
        <f>MAX(B92-B91,0)</f>
        <v>0</v>
      </c>
      <c r="G92" s="24">
        <f>MAX(B91-B92,0)</f>
        <v>0</v>
      </c>
      <c r="H92" s="26">
        <f>IF(SUM(G79:G92)=0,100,100-100/(1+AVERAGE(F79:F92)/AVERAGE(G79:G92)))</f>
        <v>0</v>
      </c>
      <c r="I92" s="24">
        <f>C92+2*_xlfn.STDEV.S(B73:B92)</f>
        <v>0</v>
      </c>
      <c r="J92" s="24">
        <f>C92-2*_xlfn.STDEV.S(B73:B92)</f>
        <v>0</v>
      </c>
    </row>
    <row r="93" spans="1:10">
      <c r="A93" s="12">
        <f>'1_Precios'!A91</f>
        <v>0</v>
      </c>
      <c r="B93" s="24">
        <f>INDEX('1_Precios'!$B$91:$F$91,MATCH($B$1,'1_Precios'!$B$1:$F$1,0))</f>
        <v>0</v>
      </c>
      <c r="C93" s="24">
        <f>AVERAGE(B74:B93)</f>
        <v>0</v>
      </c>
      <c r="D93" s="24">
        <f>AVERAGE(B44:B93)</f>
        <v>0</v>
      </c>
      <c r="E93" s="9">
        <f>IF(AND(C93&gt;D93,C92&lt;=D92),"COMPRA (cruce alcista)",IF(AND(C93&lt;D93,C92&gt;=D92),"VENTA (cruce bajista)",""))</f>
        <v>0</v>
      </c>
      <c r="F93" s="24">
        <f>MAX(B93-B92,0)</f>
        <v>0</v>
      </c>
      <c r="G93" s="24">
        <f>MAX(B92-B93,0)</f>
        <v>0</v>
      </c>
      <c r="H93" s="26">
        <f>IF(SUM(G80:G93)=0,100,100-100/(1+AVERAGE(F80:F93)/AVERAGE(G80:G93)))</f>
        <v>0</v>
      </c>
      <c r="I93" s="24">
        <f>C93+2*_xlfn.STDEV.S(B74:B93)</f>
        <v>0</v>
      </c>
      <c r="J93" s="24">
        <f>C93-2*_xlfn.STDEV.S(B74:B93)</f>
        <v>0</v>
      </c>
    </row>
    <row r="94" spans="1:10">
      <c r="A94" s="12">
        <f>'1_Precios'!A92</f>
        <v>0</v>
      </c>
      <c r="B94" s="24">
        <f>INDEX('1_Precios'!$B$92:$F$92,MATCH($B$1,'1_Precios'!$B$1:$F$1,0))</f>
        <v>0</v>
      </c>
      <c r="C94" s="24">
        <f>AVERAGE(B75:B94)</f>
        <v>0</v>
      </c>
      <c r="D94" s="24">
        <f>AVERAGE(B45:B94)</f>
        <v>0</v>
      </c>
      <c r="E94" s="9">
        <f>IF(AND(C94&gt;D94,C93&lt;=D93),"COMPRA (cruce alcista)",IF(AND(C94&lt;D94,C93&gt;=D93),"VENTA (cruce bajista)",""))</f>
        <v>0</v>
      </c>
      <c r="F94" s="24">
        <f>MAX(B94-B93,0)</f>
        <v>0</v>
      </c>
      <c r="G94" s="24">
        <f>MAX(B93-B94,0)</f>
        <v>0</v>
      </c>
      <c r="H94" s="26">
        <f>IF(SUM(G81:G94)=0,100,100-100/(1+AVERAGE(F81:F94)/AVERAGE(G81:G94)))</f>
        <v>0</v>
      </c>
      <c r="I94" s="24">
        <f>C94+2*_xlfn.STDEV.S(B75:B94)</f>
        <v>0</v>
      </c>
      <c r="J94" s="24">
        <f>C94-2*_xlfn.STDEV.S(B75:B94)</f>
        <v>0</v>
      </c>
    </row>
    <row r="95" spans="1:10">
      <c r="A95" s="12">
        <f>'1_Precios'!A93</f>
        <v>0</v>
      </c>
      <c r="B95" s="24">
        <f>INDEX('1_Precios'!$B$93:$F$93,MATCH($B$1,'1_Precios'!$B$1:$F$1,0))</f>
        <v>0</v>
      </c>
      <c r="C95" s="24">
        <f>AVERAGE(B76:B95)</f>
        <v>0</v>
      </c>
      <c r="D95" s="24">
        <f>AVERAGE(B46:B95)</f>
        <v>0</v>
      </c>
      <c r="E95" s="9">
        <f>IF(AND(C95&gt;D95,C94&lt;=D94),"COMPRA (cruce alcista)",IF(AND(C95&lt;D95,C94&gt;=D94),"VENTA (cruce bajista)",""))</f>
        <v>0</v>
      </c>
      <c r="F95" s="24">
        <f>MAX(B95-B94,0)</f>
        <v>0</v>
      </c>
      <c r="G95" s="24">
        <f>MAX(B94-B95,0)</f>
        <v>0</v>
      </c>
      <c r="H95" s="26">
        <f>IF(SUM(G82:G95)=0,100,100-100/(1+AVERAGE(F82:F95)/AVERAGE(G82:G95)))</f>
        <v>0</v>
      </c>
      <c r="I95" s="24">
        <f>C95+2*_xlfn.STDEV.S(B76:B95)</f>
        <v>0</v>
      </c>
      <c r="J95" s="24">
        <f>C95-2*_xlfn.STDEV.S(B76:B95)</f>
        <v>0</v>
      </c>
    </row>
    <row r="96" spans="1:10">
      <c r="A96" s="12">
        <f>'1_Precios'!A94</f>
        <v>0</v>
      </c>
      <c r="B96" s="24">
        <f>INDEX('1_Precios'!$B$94:$F$94,MATCH($B$1,'1_Precios'!$B$1:$F$1,0))</f>
        <v>0</v>
      </c>
      <c r="C96" s="24">
        <f>AVERAGE(B77:B96)</f>
        <v>0</v>
      </c>
      <c r="D96" s="24">
        <f>AVERAGE(B47:B96)</f>
        <v>0</v>
      </c>
      <c r="E96" s="9">
        <f>IF(AND(C96&gt;D96,C95&lt;=D95),"COMPRA (cruce alcista)",IF(AND(C96&lt;D96,C95&gt;=D95),"VENTA (cruce bajista)",""))</f>
        <v>0</v>
      </c>
      <c r="F96" s="24">
        <f>MAX(B96-B95,0)</f>
        <v>0</v>
      </c>
      <c r="G96" s="24">
        <f>MAX(B95-B96,0)</f>
        <v>0</v>
      </c>
      <c r="H96" s="26">
        <f>IF(SUM(G83:G96)=0,100,100-100/(1+AVERAGE(F83:F96)/AVERAGE(G83:G96)))</f>
        <v>0</v>
      </c>
      <c r="I96" s="24">
        <f>C96+2*_xlfn.STDEV.S(B77:B96)</f>
        <v>0</v>
      </c>
      <c r="J96" s="24">
        <f>C96-2*_xlfn.STDEV.S(B77:B96)</f>
        <v>0</v>
      </c>
    </row>
    <row r="97" spans="1:10">
      <c r="A97" s="12">
        <f>'1_Precios'!A95</f>
        <v>0</v>
      </c>
      <c r="B97" s="24">
        <f>INDEX('1_Precios'!$B$95:$F$95,MATCH($B$1,'1_Precios'!$B$1:$F$1,0))</f>
        <v>0</v>
      </c>
      <c r="C97" s="24">
        <f>AVERAGE(B78:B97)</f>
        <v>0</v>
      </c>
      <c r="D97" s="24">
        <f>AVERAGE(B48:B97)</f>
        <v>0</v>
      </c>
      <c r="E97" s="9">
        <f>IF(AND(C97&gt;D97,C96&lt;=D96),"COMPRA (cruce alcista)",IF(AND(C97&lt;D97,C96&gt;=D96),"VENTA (cruce bajista)",""))</f>
        <v>0</v>
      </c>
      <c r="F97" s="24">
        <f>MAX(B97-B96,0)</f>
        <v>0</v>
      </c>
      <c r="G97" s="24">
        <f>MAX(B96-B97,0)</f>
        <v>0</v>
      </c>
      <c r="H97" s="26">
        <f>IF(SUM(G84:G97)=0,100,100-100/(1+AVERAGE(F84:F97)/AVERAGE(G84:G97)))</f>
        <v>0</v>
      </c>
      <c r="I97" s="24">
        <f>C97+2*_xlfn.STDEV.S(B78:B97)</f>
        <v>0</v>
      </c>
      <c r="J97" s="24">
        <f>C97-2*_xlfn.STDEV.S(B78:B97)</f>
        <v>0</v>
      </c>
    </row>
    <row r="98" spans="1:10">
      <c r="A98" s="12">
        <f>'1_Precios'!A96</f>
        <v>0</v>
      </c>
      <c r="B98" s="24">
        <f>INDEX('1_Precios'!$B$96:$F$96,MATCH($B$1,'1_Precios'!$B$1:$F$1,0))</f>
        <v>0</v>
      </c>
      <c r="C98" s="24">
        <f>AVERAGE(B79:B98)</f>
        <v>0</v>
      </c>
      <c r="D98" s="24">
        <f>AVERAGE(B49:B98)</f>
        <v>0</v>
      </c>
      <c r="E98" s="9">
        <f>IF(AND(C98&gt;D98,C97&lt;=D97),"COMPRA (cruce alcista)",IF(AND(C98&lt;D98,C97&gt;=D97),"VENTA (cruce bajista)",""))</f>
        <v>0</v>
      </c>
      <c r="F98" s="24">
        <f>MAX(B98-B97,0)</f>
        <v>0</v>
      </c>
      <c r="G98" s="24">
        <f>MAX(B97-B98,0)</f>
        <v>0</v>
      </c>
      <c r="H98" s="26">
        <f>IF(SUM(G85:G98)=0,100,100-100/(1+AVERAGE(F85:F98)/AVERAGE(G85:G98)))</f>
        <v>0</v>
      </c>
      <c r="I98" s="24">
        <f>C98+2*_xlfn.STDEV.S(B79:B98)</f>
        <v>0</v>
      </c>
      <c r="J98" s="24">
        <f>C98-2*_xlfn.STDEV.S(B79:B98)</f>
        <v>0</v>
      </c>
    </row>
    <row r="99" spans="1:10">
      <c r="A99" s="12">
        <f>'1_Precios'!A97</f>
        <v>0</v>
      </c>
      <c r="B99" s="24">
        <f>INDEX('1_Precios'!$B$97:$F$97,MATCH($B$1,'1_Precios'!$B$1:$F$1,0))</f>
        <v>0</v>
      </c>
      <c r="C99" s="24">
        <f>AVERAGE(B80:B99)</f>
        <v>0</v>
      </c>
      <c r="D99" s="24">
        <f>AVERAGE(B50:B99)</f>
        <v>0</v>
      </c>
      <c r="E99" s="9">
        <f>IF(AND(C99&gt;D99,C98&lt;=D98),"COMPRA (cruce alcista)",IF(AND(C99&lt;D99,C98&gt;=D98),"VENTA (cruce bajista)",""))</f>
        <v>0</v>
      </c>
      <c r="F99" s="24">
        <f>MAX(B99-B98,0)</f>
        <v>0</v>
      </c>
      <c r="G99" s="24">
        <f>MAX(B98-B99,0)</f>
        <v>0</v>
      </c>
      <c r="H99" s="26">
        <f>IF(SUM(G86:G99)=0,100,100-100/(1+AVERAGE(F86:F99)/AVERAGE(G86:G99)))</f>
        <v>0</v>
      </c>
      <c r="I99" s="24">
        <f>C99+2*_xlfn.STDEV.S(B80:B99)</f>
        <v>0</v>
      </c>
      <c r="J99" s="24">
        <f>C99-2*_xlfn.STDEV.S(B80:B99)</f>
        <v>0</v>
      </c>
    </row>
    <row r="100" spans="1:10">
      <c r="A100" s="12">
        <f>'1_Precios'!A98</f>
        <v>0</v>
      </c>
      <c r="B100" s="24">
        <f>INDEX('1_Precios'!$B$98:$F$98,MATCH($B$1,'1_Precios'!$B$1:$F$1,0))</f>
        <v>0</v>
      </c>
      <c r="C100" s="24">
        <f>AVERAGE(B81:B100)</f>
        <v>0</v>
      </c>
      <c r="D100" s="24">
        <f>AVERAGE(B51:B100)</f>
        <v>0</v>
      </c>
      <c r="E100" s="9">
        <f>IF(AND(C100&gt;D100,C99&lt;=D99),"COMPRA (cruce alcista)",IF(AND(C100&lt;D100,C99&gt;=D99),"VENTA (cruce bajista)",""))</f>
        <v>0</v>
      </c>
      <c r="F100" s="24">
        <f>MAX(B100-B99,0)</f>
        <v>0</v>
      </c>
      <c r="G100" s="24">
        <f>MAX(B99-B100,0)</f>
        <v>0</v>
      </c>
      <c r="H100" s="26">
        <f>IF(SUM(G87:G100)=0,100,100-100/(1+AVERAGE(F87:F100)/AVERAGE(G87:G100)))</f>
        <v>0</v>
      </c>
      <c r="I100" s="24">
        <f>C100+2*_xlfn.STDEV.S(B81:B100)</f>
        <v>0</v>
      </c>
      <c r="J100" s="24">
        <f>C100-2*_xlfn.STDEV.S(B81:B100)</f>
        <v>0</v>
      </c>
    </row>
    <row r="101" spans="1:10">
      <c r="A101" s="12">
        <f>'1_Precios'!A99</f>
        <v>0</v>
      </c>
      <c r="B101" s="24">
        <f>INDEX('1_Precios'!$B$99:$F$99,MATCH($B$1,'1_Precios'!$B$1:$F$1,0))</f>
        <v>0</v>
      </c>
      <c r="C101" s="24">
        <f>AVERAGE(B82:B101)</f>
        <v>0</v>
      </c>
      <c r="D101" s="24">
        <f>AVERAGE(B52:B101)</f>
        <v>0</v>
      </c>
      <c r="E101" s="9">
        <f>IF(AND(C101&gt;D101,C100&lt;=D100),"COMPRA (cruce alcista)",IF(AND(C101&lt;D101,C100&gt;=D100),"VENTA (cruce bajista)",""))</f>
        <v>0</v>
      </c>
      <c r="F101" s="24">
        <f>MAX(B101-B100,0)</f>
        <v>0</v>
      </c>
      <c r="G101" s="24">
        <f>MAX(B100-B101,0)</f>
        <v>0</v>
      </c>
      <c r="H101" s="26">
        <f>IF(SUM(G88:G101)=0,100,100-100/(1+AVERAGE(F88:F101)/AVERAGE(G88:G101)))</f>
        <v>0</v>
      </c>
      <c r="I101" s="24">
        <f>C101+2*_xlfn.STDEV.S(B82:B101)</f>
        <v>0</v>
      </c>
      <c r="J101" s="24">
        <f>C101-2*_xlfn.STDEV.S(B82:B101)</f>
        <v>0</v>
      </c>
    </row>
    <row r="102" spans="1:10">
      <c r="A102" s="12">
        <f>'1_Precios'!A100</f>
        <v>0</v>
      </c>
      <c r="B102" s="24">
        <f>INDEX('1_Precios'!$B$100:$F$100,MATCH($B$1,'1_Precios'!$B$1:$F$1,0))</f>
        <v>0</v>
      </c>
      <c r="C102" s="24">
        <f>AVERAGE(B83:B102)</f>
        <v>0</v>
      </c>
      <c r="D102" s="24">
        <f>AVERAGE(B53:B102)</f>
        <v>0</v>
      </c>
      <c r="E102" s="9">
        <f>IF(AND(C102&gt;D102,C101&lt;=D101),"COMPRA (cruce alcista)",IF(AND(C102&lt;D102,C101&gt;=D101),"VENTA (cruce bajista)",""))</f>
        <v>0</v>
      </c>
      <c r="F102" s="24">
        <f>MAX(B102-B101,0)</f>
        <v>0</v>
      </c>
      <c r="G102" s="24">
        <f>MAX(B101-B102,0)</f>
        <v>0</v>
      </c>
      <c r="H102" s="26">
        <f>IF(SUM(G89:G102)=0,100,100-100/(1+AVERAGE(F89:F102)/AVERAGE(G89:G102)))</f>
        <v>0</v>
      </c>
      <c r="I102" s="24">
        <f>C102+2*_xlfn.STDEV.S(B83:B102)</f>
        <v>0</v>
      </c>
      <c r="J102" s="24">
        <f>C102-2*_xlfn.STDEV.S(B83:B102)</f>
        <v>0</v>
      </c>
    </row>
    <row r="103" spans="1:10">
      <c r="A103" s="12">
        <f>'1_Precios'!A101</f>
        <v>0</v>
      </c>
      <c r="B103" s="24">
        <f>INDEX('1_Precios'!$B$101:$F$101,MATCH($B$1,'1_Precios'!$B$1:$F$1,0))</f>
        <v>0</v>
      </c>
      <c r="C103" s="24">
        <f>AVERAGE(B84:B103)</f>
        <v>0</v>
      </c>
      <c r="D103" s="24">
        <f>AVERAGE(B54:B103)</f>
        <v>0</v>
      </c>
      <c r="E103" s="9">
        <f>IF(AND(C103&gt;D103,C102&lt;=D102),"COMPRA (cruce alcista)",IF(AND(C103&lt;D103,C102&gt;=D102),"VENTA (cruce bajista)",""))</f>
        <v>0</v>
      </c>
      <c r="F103" s="24">
        <f>MAX(B103-B102,0)</f>
        <v>0</v>
      </c>
      <c r="G103" s="24">
        <f>MAX(B102-B103,0)</f>
        <v>0</v>
      </c>
      <c r="H103" s="26">
        <f>IF(SUM(G90:G103)=0,100,100-100/(1+AVERAGE(F90:F103)/AVERAGE(G90:G103)))</f>
        <v>0</v>
      </c>
      <c r="I103" s="24">
        <f>C103+2*_xlfn.STDEV.S(B84:B103)</f>
        <v>0</v>
      </c>
      <c r="J103" s="24">
        <f>C103-2*_xlfn.STDEV.S(B84:B103)</f>
        <v>0</v>
      </c>
    </row>
    <row r="104" spans="1:10">
      <c r="A104" s="12">
        <f>'1_Precios'!A102</f>
        <v>0</v>
      </c>
      <c r="B104" s="24">
        <f>INDEX('1_Precios'!$B$102:$F$102,MATCH($B$1,'1_Precios'!$B$1:$F$1,0))</f>
        <v>0</v>
      </c>
      <c r="C104" s="24">
        <f>AVERAGE(B85:B104)</f>
        <v>0</v>
      </c>
      <c r="D104" s="24">
        <f>AVERAGE(B55:B104)</f>
        <v>0</v>
      </c>
      <c r="E104" s="9">
        <f>IF(AND(C104&gt;D104,C103&lt;=D103),"COMPRA (cruce alcista)",IF(AND(C104&lt;D104,C103&gt;=D103),"VENTA (cruce bajista)",""))</f>
        <v>0</v>
      </c>
      <c r="F104" s="24">
        <f>MAX(B104-B103,0)</f>
        <v>0</v>
      </c>
      <c r="G104" s="24">
        <f>MAX(B103-B104,0)</f>
        <v>0</v>
      </c>
      <c r="H104" s="26">
        <f>IF(SUM(G91:G104)=0,100,100-100/(1+AVERAGE(F91:F104)/AVERAGE(G91:G104)))</f>
        <v>0</v>
      </c>
      <c r="I104" s="24">
        <f>C104+2*_xlfn.STDEV.S(B85:B104)</f>
        <v>0</v>
      </c>
      <c r="J104" s="24">
        <f>C104-2*_xlfn.STDEV.S(B85:B104)</f>
        <v>0</v>
      </c>
    </row>
    <row r="105" spans="1:10">
      <c r="A105" s="12">
        <f>'1_Precios'!A103</f>
        <v>0</v>
      </c>
      <c r="B105" s="24">
        <f>INDEX('1_Precios'!$B$103:$F$103,MATCH($B$1,'1_Precios'!$B$1:$F$1,0))</f>
        <v>0</v>
      </c>
      <c r="C105" s="24">
        <f>AVERAGE(B86:B105)</f>
        <v>0</v>
      </c>
      <c r="D105" s="24">
        <f>AVERAGE(B56:B105)</f>
        <v>0</v>
      </c>
      <c r="E105" s="9">
        <f>IF(AND(C105&gt;D105,C104&lt;=D104),"COMPRA (cruce alcista)",IF(AND(C105&lt;D105,C104&gt;=D104),"VENTA (cruce bajista)",""))</f>
        <v>0</v>
      </c>
      <c r="F105" s="24">
        <f>MAX(B105-B104,0)</f>
        <v>0</v>
      </c>
      <c r="G105" s="24">
        <f>MAX(B104-B105,0)</f>
        <v>0</v>
      </c>
      <c r="H105" s="26">
        <f>IF(SUM(G92:G105)=0,100,100-100/(1+AVERAGE(F92:F105)/AVERAGE(G92:G105)))</f>
        <v>0</v>
      </c>
      <c r="I105" s="24">
        <f>C105+2*_xlfn.STDEV.S(B86:B105)</f>
        <v>0</v>
      </c>
      <c r="J105" s="24">
        <f>C105-2*_xlfn.STDEV.S(B86:B105)</f>
        <v>0</v>
      </c>
    </row>
    <row r="106" spans="1:10">
      <c r="A106" s="12">
        <f>'1_Precios'!A104</f>
        <v>0</v>
      </c>
      <c r="B106" s="24">
        <f>INDEX('1_Precios'!$B$104:$F$104,MATCH($B$1,'1_Precios'!$B$1:$F$1,0))</f>
        <v>0</v>
      </c>
      <c r="C106" s="24">
        <f>AVERAGE(B87:B106)</f>
        <v>0</v>
      </c>
      <c r="D106" s="24">
        <f>AVERAGE(B57:B106)</f>
        <v>0</v>
      </c>
      <c r="E106" s="9">
        <f>IF(AND(C106&gt;D106,C105&lt;=D105),"COMPRA (cruce alcista)",IF(AND(C106&lt;D106,C105&gt;=D105),"VENTA (cruce bajista)",""))</f>
        <v>0</v>
      </c>
      <c r="F106" s="24">
        <f>MAX(B106-B105,0)</f>
        <v>0</v>
      </c>
      <c r="G106" s="24">
        <f>MAX(B105-B106,0)</f>
        <v>0</v>
      </c>
      <c r="H106" s="26">
        <f>IF(SUM(G93:G106)=0,100,100-100/(1+AVERAGE(F93:F106)/AVERAGE(G93:G106)))</f>
        <v>0</v>
      </c>
      <c r="I106" s="24">
        <f>C106+2*_xlfn.STDEV.S(B87:B106)</f>
        <v>0</v>
      </c>
      <c r="J106" s="24">
        <f>C106-2*_xlfn.STDEV.S(B87:B106)</f>
        <v>0</v>
      </c>
    </row>
    <row r="107" spans="1:10">
      <c r="A107" s="12">
        <f>'1_Precios'!A105</f>
        <v>0</v>
      </c>
      <c r="B107" s="24">
        <f>INDEX('1_Precios'!$B$105:$F$105,MATCH($B$1,'1_Precios'!$B$1:$F$1,0))</f>
        <v>0</v>
      </c>
      <c r="C107" s="24">
        <f>AVERAGE(B88:B107)</f>
        <v>0</v>
      </c>
      <c r="D107" s="24">
        <f>AVERAGE(B58:B107)</f>
        <v>0</v>
      </c>
      <c r="E107" s="9">
        <f>IF(AND(C107&gt;D107,C106&lt;=D106),"COMPRA (cruce alcista)",IF(AND(C107&lt;D107,C106&gt;=D106),"VENTA (cruce bajista)",""))</f>
        <v>0</v>
      </c>
      <c r="F107" s="24">
        <f>MAX(B107-B106,0)</f>
        <v>0</v>
      </c>
      <c r="G107" s="24">
        <f>MAX(B106-B107,0)</f>
        <v>0</v>
      </c>
      <c r="H107" s="26">
        <f>IF(SUM(G94:G107)=0,100,100-100/(1+AVERAGE(F94:F107)/AVERAGE(G94:G107)))</f>
        <v>0</v>
      </c>
      <c r="I107" s="24">
        <f>C107+2*_xlfn.STDEV.S(B88:B107)</f>
        <v>0</v>
      </c>
      <c r="J107" s="24">
        <f>C107-2*_xlfn.STDEV.S(B88:B107)</f>
        <v>0</v>
      </c>
    </row>
    <row r="108" spans="1:10">
      <c r="A108" s="12">
        <f>'1_Precios'!A106</f>
        <v>0</v>
      </c>
      <c r="B108" s="24">
        <f>INDEX('1_Precios'!$B$106:$F$106,MATCH($B$1,'1_Precios'!$B$1:$F$1,0))</f>
        <v>0</v>
      </c>
      <c r="C108" s="24">
        <f>AVERAGE(B89:B108)</f>
        <v>0</v>
      </c>
      <c r="D108" s="24">
        <f>AVERAGE(B59:B108)</f>
        <v>0</v>
      </c>
      <c r="E108" s="9">
        <f>IF(AND(C108&gt;D108,C107&lt;=D107),"COMPRA (cruce alcista)",IF(AND(C108&lt;D108,C107&gt;=D107),"VENTA (cruce bajista)",""))</f>
        <v>0</v>
      </c>
      <c r="F108" s="24">
        <f>MAX(B108-B107,0)</f>
        <v>0</v>
      </c>
      <c r="G108" s="24">
        <f>MAX(B107-B108,0)</f>
        <v>0</v>
      </c>
      <c r="H108" s="26">
        <f>IF(SUM(G95:G108)=0,100,100-100/(1+AVERAGE(F95:F108)/AVERAGE(G95:G108)))</f>
        <v>0</v>
      </c>
      <c r="I108" s="24">
        <f>C108+2*_xlfn.STDEV.S(B89:B108)</f>
        <v>0</v>
      </c>
      <c r="J108" s="24">
        <f>C108-2*_xlfn.STDEV.S(B89:B108)</f>
        <v>0</v>
      </c>
    </row>
    <row r="109" spans="1:10">
      <c r="A109" s="12">
        <f>'1_Precios'!A107</f>
        <v>0</v>
      </c>
      <c r="B109" s="24">
        <f>INDEX('1_Precios'!$B$107:$F$107,MATCH($B$1,'1_Precios'!$B$1:$F$1,0))</f>
        <v>0</v>
      </c>
      <c r="C109" s="24">
        <f>AVERAGE(B90:B109)</f>
        <v>0</v>
      </c>
      <c r="D109" s="24">
        <f>AVERAGE(B60:B109)</f>
        <v>0</v>
      </c>
      <c r="E109" s="9">
        <f>IF(AND(C109&gt;D109,C108&lt;=D108),"COMPRA (cruce alcista)",IF(AND(C109&lt;D109,C108&gt;=D108),"VENTA (cruce bajista)",""))</f>
        <v>0</v>
      </c>
      <c r="F109" s="24">
        <f>MAX(B109-B108,0)</f>
        <v>0</v>
      </c>
      <c r="G109" s="24">
        <f>MAX(B108-B109,0)</f>
        <v>0</v>
      </c>
      <c r="H109" s="26">
        <f>IF(SUM(G96:G109)=0,100,100-100/(1+AVERAGE(F96:F109)/AVERAGE(G96:G109)))</f>
        <v>0</v>
      </c>
      <c r="I109" s="24">
        <f>C109+2*_xlfn.STDEV.S(B90:B109)</f>
        <v>0</v>
      </c>
      <c r="J109" s="24">
        <f>C109-2*_xlfn.STDEV.S(B90:B109)</f>
        <v>0</v>
      </c>
    </row>
    <row r="110" spans="1:10">
      <c r="A110" s="12">
        <f>'1_Precios'!A108</f>
        <v>0</v>
      </c>
      <c r="B110" s="24">
        <f>INDEX('1_Precios'!$B$108:$F$108,MATCH($B$1,'1_Precios'!$B$1:$F$1,0))</f>
        <v>0</v>
      </c>
      <c r="C110" s="24">
        <f>AVERAGE(B91:B110)</f>
        <v>0</v>
      </c>
      <c r="D110" s="24">
        <f>AVERAGE(B61:B110)</f>
        <v>0</v>
      </c>
      <c r="E110" s="9">
        <f>IF(AND(C110&gt;D110,C109&lt;=D109),"COMPRA (cruce alcista)",IF(AND(C110&lt;D110,C109&gt;=D109),"VENTA (cruce bajista)",""))</f>
        <v>0</v>
      </c>
      <c r="F110" s="24">
        <f>MAX(B110-B109,0)</f>
        <v>0</v>
      </c>
      <c r="G110" s="24">
        <f>MAX(B109-B110,0)</f>
        <v>0</v>
      </c>
      <c r="H110" s="26">
        <f>IF(SUM(G97:G110)=0,100,100-100/(1+AVERAGE(F97:F110)/AVERAGE(G97:G110)))</f>
        <v>0</v>
      </c>
      <c r="I110" s="24">
        <f>C110+2*_xlfn.STDEV.S(B91:B110)</f>
        <v>0</v>
      </c>
      <c r="J110" s="24">
        <f>C110-2*_xlfn.STDEV.S(B91:B110)</f>
        <v>0</v>
      </c>
    </row>
    <row r="111" spans="1:10">
      <c r="A111" s="12">
        <f>'1_Precios'!A109</f>
        <v>0</v>
      </c>
      <c r="B111" s="24">
        <f>INDEX('1_Precios'!$B$109:$F$109,MATCH($B$1,'1_Precios'!$B$1:$F$1,0))</f>
        <v>0</v>
      </c>
      <c r="C111" s="24">
        <f>AVERAGE(B92:B111)</f>
        <v>0</v>
      </c>
      <c r="D111" s="24">
        <f>AVERAGE(B62:B111)</f>
        <v>0</v>
      </c>
      <c r="E111" s="9">
        <f>IF(AND(C111&gt;D111,C110&lt;=D110),"COMPRA (cruce alcista)",IF(AND(C111&lt;D111,C110&gt;=D110),"VENTA (cruce bajista)",""))</f>
        <v>0</v>
      </c>
      <c r="F111" s="24">
        <f>MAX(B111-B110,0)</f>
        <v>0</v>
      </c>
      <c r="G111" s="24">
        <f>MAX(B110-B111,0)</f>
        <v>0</v>
      </c>
      <c r="H111" s="26">
        <f>IF(SUM(G98:G111)=0,100,100-100/(1+AVERAGE(F98:F111)/AVERAGE(G98:G111)))</f>
        <v>0</v>
      </c>
      <c r="I111" s="24">
        <f>C111+2*_xlfn.STDEV.S(B92:B111)</f>
        <v>0</v>
      </c>
      <c r="J111" s="24">
        <f>C111-2*_xlfn.STDEV.S(B92:B111)</f>
        <v>0</v>
      </c>
    </row>
    <row r="112" spans="1:10">
      <c r="A112" s="12">
        <f>'1_Precios'!A110</f>
        <v>0</v>
      </c>
      <c r="B112" s="24">
        <f>INDEX('1_Precios'!$B$110:$F$110,MATCH($B$1,'1_Precios'!$B$1:$F$1,0))</f>
        <v>0</v>
      </c>
      <c r="C112" s="24">
        <f>AVERAGE(B93:B112)</f>
        <v>0</v>
      </c>
      <c r="D112" s="24">
        <f>AVERAGE(B63:B112)</f>
        <v>0</v>
      </c>
      <c r="E112" s="9">
        <f>IF(AND(C112&gt;D112,C111&lt;=D111),"COMPRA (cruce alcista)",IF(AND(C112&lt;D112,C111&gt;=D111),"VENTA (cruce bajista)",""))</f>
        <v>0</v>
      </c>
      <c r="F112" s="24">
        <f>MAX(B112-B111,0)</f>
        <v>0</v>
      </c>
      <c r="G112" s="24">
        <f>MAX(B111-B112,0)</f>
        <v>0</v>
      </c>
      <c r="H112" s="26">
        <f>IF(SUM(G99:G112)=0,100,100-100/(1+AVERAGE(F99:F112)/AVERAGE(G99:G112)))</f>
        <v>0</v>
      </c>
      <c r="I112" s="24">
        <f>C112+2*_xlfn.STDEV.S(B93:B112)</f>
        <v>0</v>
      </c>
      <c r="J112" s="24">
        <f>C112-2*_xlfn.STDEV.S(B93:B112)</f>
        <v>0</v>
      </c>
    </row>
    <row r="113" spans="1:10">
      <c r="A113" s="12">
        <f>'1_Precios'!A111</f>
        <v>0</v>
      </c>
      <c r="B113" s="24">
        <f>INDEX('1_Precios'!$B$111:$F$111,MATCH($B$1,'1_Precios'!$B$1:$F$1,0))</f>
        <v>0</v>
      </c>
      <c r="C113" s="24">
        <f>AVERAGE(B94:B113)</f>
        <v>0</v>
      </c>
      <c r="D113" s="24">
        <f>AVERAGE(B64:B113)</f>
        <v>0</v>
      </c>
      <c r="E113" s="9">
        <f>IF(AND(C113&gt;D113,C112&lt;=D112),"COMPRA (cruce alcista)",IF(AND(C113&lt;D113,C112&gt;=D112),"VENTA (cruce bajista)",""))</f>
        <v>0</v>
      </c>
      <c r="F113" s="24">
        <f>MAX(B113-B112,0)</f>
        <v>0</v>
      </c>
      <c r="G113" s="24">
        <f>MAX(B112-B113,0)</f>
        <v>0</v>
      </c>
      <c r="H113" s="26">
        <f>IF(SUM(G100:G113)=0,100,100-100/(1+AVERAGE(F100:F113)/AVERAGE(G100:G113)))</f>
        <v>0</v>
      </c>
      <c r="I113" s="24">
        <f>C113+2*_xlfn.STDEV.S(B94:B113)</f>
        <v>0</v>
      </c>
      <c r="J113" s="24">
        <f>C113-2*_xlfn.STDEV.S(B94:B113)</f>
        <v>0</v>
      </c>
    </row>
    <row r="114" spans="1:10">
      <c r="A114" s="12">
        <f>'1_Precios'!A112</f>
        <v>0</v>
      </c>
      <c r="B114" s="24">
        <f>INDEX('1_Precios'!$B$112:$F$112,MATCH($B$1,'1_Precios'!$B$1:$F$1,0))</f>
        <v>0</v>
      </c>
      <c r="C114" s="24">
        <f>AVERAGE(B95:B114)</f>
        <v>0</v>
      </c>
      <c r="D114" s="24">
        <f>AVERAGE(B65:B114)</f>
        <v>0</v>
      </c>
      <c r="E114" s="9">
        <f>IF(AND(C114&gt;D114,C113&lt;=D113),"COMPRA (cruce alcista)",IF(AND(C114&lt;D114,C113&gt;=D113),"VENTA (cruce bajista)",""))</f>
        <v>0</v>
      </c>
      <c r="F114" s="24">
        <f>MAX(B114-B113,0)</f>
        <v>0</v>
      </c>
      <c r="G114" s="24">
        <f>MAX(B113-B114,0)</f>
        <v>0</v>
      </c>
      <c r="H114" s="26">
        <f>IF(SUM(G101:G114)=0,100,100-100/(1+AVERAGE(F101:F114)/AVERAGE(G101:G114)))</f>
        <v>0</v>
      </c>
      <c r="I114" s="24">
        <f>C114+2*_xlfn.STDEV.S(B95:B114)</f>
        <v>0</v>
      </c>
      <c r="J114" s="24">
        <f>C114-2*_xlfn.STDEV.S(B95:B114)</f>
        <v>0</v>
      </c>
    </row>
    <row r="115" spans="1:10">
      <c r="A115" s="12">
        <f>'1_Precios'!A113</f>
        <v>0</v>
      </c>
      <c r="B115" s="24">
        <f>INDEX('1_Precios'!$B$113:$F$113,MATCH($B$1,'1_Precios'!$B$1:$F$1,0))</f>
        <v>0</v>
      </c>
      <c r="C115" s="24">
        <f>AVERAGE(B96:B115)</f>
        <v>0</v>
      </c>
      <c r="D115" s="24">
        <f>AVERAGE(B66:B115)</f>
        <v>0</v>
      </c>
      <c r="E115" s="9">
        <f>IF(AND(C115&gt;D115,C114&lt;=D114),"COMPRA (cruce alcista)",IF(AND(C115&lt;D115,C114&gt;=D114),"VENTA (cruce bajista)",""))</f>
        <v>0</v>
      </c>
      <c r="F115" s="24">
        <f>MAX(B115-B114,0)</f>
        <v>0</v>
      </c>
      <c r="G115" s="24">
        <f>MAX(B114-B115,0)</f>
        <v>0</v>
      </c>
      <c r="H115" s="26">
        <f>IF(SUM(G102:G115)=0,100,100-100/(1+AVERAGE(F102:F115)/AVERAGE(G102:G115)))</f>
        <v>0</v>
      </c>
      <c r="I115" s="24">
        <f>C115+2*_xlfn.STDEV.S(B96:B115)</f>
        <v>0</v>
      </c>
      <c r="J115" s="24">
        <f>C115-2*_xlfn.STDEV.S(B96:B115)</f>
        <v>0</v>
      </c>
    </row>
    <row r="116" spans="1:10">
      <c r="A116" s="12">
        <f>'1_Precios'!A114</f>
        <v>0</v>
      </c>
      <c r="B116" s="24">
        <f>INDEX('1_Precios'!$B$114:$F$114,MATCH($B$1,'1_Precios'!$B$1:$F$1,0))</f>
        <v>0</v>
      </c>
      <c r="C116" s="24">
        <f>AVERAGE(B97:B116)</f>
        <v>0</v>
      </c>
      <c r="D116" s="24">
        <f>AVERAGE(B67:B116)</f>
        <v>0</v>
      </c>
      <c r="E116" s="9">
        <f>IF(AND(C116&gt;D116,C115&lt;=D115),"COMPRA (cruce alcista)",IF(AND(C116&lt;D116,C115&gt;=D115),"VENTA (cruce bajista)",""))</f>
        <v>0</v>
      </c>
      <c r="F116" s="24">
        <f>MAX(B116-B115,0)</f>
        <v>0</v>
      </c>
      <c r="G116" s="24">
        <f>MAX(B115-B116,0)</f>
        <v>0</v>
      </c>
      <c r="H116" s="26">
        <f>IF(SUM(G103:G116)=0,100,100-100/(1+AVERAGE(F103:F116)/AVERAGE(G103:G116)))</f>
        <v>0</v>
      </c>
      <c r="I116" s="24">
        <f>C116+2*_xlfn.STDEV.S(B97:B116)</f>
        <v>0</v>
      </c>
      <c r="J116" s="24">
        <f>C116-2*_xlfn.STDEV.S(B97:B116)</f>
        <v>0</v>
      </c>
    </row>
    <row r="117" spans="1:10">
      <c r="A117" s="12">
        <f>'1_Precios'!A115</f>
        <v>0</v>
      </c>
      <c r="B117" s="24">
        <f>INDEX('1_Precios'!$B$115:$F$115,MATCH($B$1,'1_Precios'!$B$1:$F$1,0))</f>
        <v>0</v>
      </c>
      <c r="C117" s="24">
        <f>AVERAGE(B98:B117)</f>
        <v>0</v>
      </c>
      <c r="D117" s="24">
        <f>AVERAGE(B68:B117)</f>
        <v>0</v>
      </c>
      <c r="E117" s="9">
        <f>IF(AND(C117&gt;D117,C116&lt;=D116),"COMPRA (cruce alcista)",IF(AND(C117&lt;D117,C116&gt;=D116),"VENTA (cruce bajista)",""))</f>
        <v>0</v>
      </c>
      <c r="F117" s="24">
        <f>MAX(B117-B116,0)</f>
        <v>0</v>
      </c>
      <c r="G117" s="24">
        <f>MAX(B116-B117,0)</f>
        <v>0</v>
      </c>
      <c r="H117" s="26">
        <f>IF(SUM(G104:G117)=0,100,100-100/(1+AVERAGE(F104:F117)/AVERAGE(G104:G117)))</f>
        <v>0</v>
      </c>
      <c r="I117" s="24">
        <f>C117+2*_xlfn.STDEV.S(B98:B117)</f>
        <v>0</v>
      </c>
      <c r="J117" s="24">
        <f>C117-2*_xlfn.STDEV.S(B98:B117)</f>
        <v>0</v>
      </c>
    </row>
    <row r="118" spans="1:10">
      <c r="A118" s="12">
        <f>'1_Precios'!A116</f>
        <v>0</v>
      </c>
      <c r="B118" s="24">
        <f>INDEX('1_Precios'!$B$116:$F$116,MATCH($B$1,'1_Precios'!$B$1:$F$1,0))</f>
        <v>0</v>
      </c>
      <c r="C118" s="24">
        <f>AVERAGE(B99:B118)</f>
        <v>0</v>
      </c>
      <c r="D118" s="24">
        <f>AVERAGE(B69:B118)</f>
        <v>0</v>
      </c>
      <c r="E118" s="9">
        <f>IF(AND(C118&gt;D118,C117&lt;=D117),"COMPRA (cruce alcista)",IF(AND(C118&lt;D118,C117&gt;=D117),"VENTA (cruce bajista)",""))</f>
        <v>0</v>
      </c>
      <c r="F118" s="24">
        <f>MAX(B118-B117,0)</f>
        <v>0</v>
      </c>
      <c r="G118" s="24">
        <f>MAX(B117-B118,0)</f>
        <v>0</v>
      </c>
      <c r="H118" s="26">
        <f>IF(SUM(G105:G118)=0,100,100-100/(1+AVERAGE(F105:F118)/AVERAGE(G105:G118)))</f>
        <v>0</v>
      </c>
      <c r="I118" s="24">
        <f>C118+2*_xlfn.STDEV.S(B99:B118)</f>
        <v>0</v>
      </c>
      <c r="J118" s="24">
        <f>C118-2*_xlfn.STDEV.S(B99:B118)</f>
        <v>0</v>
      </c>
    </row>
    <row r="119" spans="1:10">
      <c r="A119" s="12">
        <f>'1_Precios'!A117</f>
        <v>0</v>
      </c>
      <c r="B119" s="24">
        <f>INDEX('1_Precios'!$B$117:$F$117,MATCH($B$1,'1_Precios'!$B$1:$F$1,0))</f>
        <v>0</v>
      </c>
      <c r="C119" s="24">
        <f>AVERAGE(B100:B119)</f>
        <v>0</v>
      </c>
      <c r="D119" s="24">
        <f>AVERAGE(B70:B119)</f>
        <v>0</v>
      </c>
      <c r="E119" s="9">
        <f>IF(AND(C119&gt;D119,C118&lt;=D118),"COMPRA (cruce alcista)",IF(AND(C119&lt;D119,C118&gt;=D118),"VENTA (cruce bajista)",""))</f>
        <v>0</v>
      </c>
      <c r="F119" s="24">
        <f>MAX(B119-B118,0)</f>
        <v>0</v>
      </c>
      <c r="G119" s="24">
        <f>MAX(B118-B119,0)</f>
        <v>0</v>
      </c>
      <c r="H119" s="26">
        <f>IF(SUM(G106:G119)=0,100,100-100/(1+AVERAGE(F106:F119)/AVERAGE(G106:G119)))</f>
        <v>0</v>
      </c>
      <c r="I119" s="24">
        <f>C119+2*_xlfn.STDEV.S(B100:B119)</f>
        <v>0</v>
      </c>
      <c r="J119" s="24">
        <f>C119-2*_xlfn.STDEV.S(B100:B119)</f>
        <v>0</v>
      </c>
    </row>
    <row r="120" spans="1:10">
      <c r="A120" s="12">
        <f>'1_Precios'!A118</f>
        <v>0</v>
      </c>
      <c r="B120" s="24">
        <f>INDEX('1_Precios'!$B$118:$F$118,MATCH($B$1,'1_Precios'!$B$1:$F$1,0))</f>
        <v>0</v>
      </c>
      <c r="C120" s="24">
        <f>AVERAGE(B101:B120)</f>
        <v>0</v>
      </c>
      <c r="D120" s="24">
        <f>AVERAGE(B71:B120)</f>
        <v>0</v>
      </c>
      <c r="E120" s="9">
        <f>IF(AND(C120&gt;D120,C119&lt;=D119),"COMPRA (cruce alcista)",IF(AND(C120&lt;D120,C119&gt;=D119),"VENTA (cruce bajista)",""))</f>
        <v>0</v>
      </c>
      <c r="F120" s="24">
        <f>MAX(B120-B119,0)</f>
        <v>0</v>
      </c>
      <c r="G120" s="24">
        <f>MAX(B119-B120,0)</f>
        <v>0</v>
      </c>
      <c r="H120" s="26">
        <f>IF(SUM(G107:G120)=0,100,100-100/(1+AVERAGE(F107:F120)/AVERAGE(G107:G120)))</f>
        <v>0</v>
      </c>
      <c r="I120" s="24">
        <f>C120+2*_xlfn.STDEV.S(B101:B120)</f>
        <v>0</v>
      </c>
      <c r="J120" s="24">
        <f>C120-2*_xlfn.STDEV.S(B101:B120)</f>
        <v>0</v>
      </c>
    </row>
    <row r="121" spans="1:10">
      <c r="A121" s="12">
        <f>'1_Precios'!A119</f>
        <v>0</v>
      </c>
      <c r="B121" s="24">
        <f>INDEX('1_Precios'!$B$119:$F$119,MATCH($B$1,'1_Precios'!$B$1:$F$1,0))</f>
        <v>0</v>
      </c>
      <c r="C121" s="24">
        <f>AVERAGE(B102:B121)</f>
        <v>0</v>
      </c>
      <c r="D121" s="24">
        <f>AVERAGE(B72:B121)</f>
        <v>0</v>
      </c>
      <c r="E121" s="9">
        <f>IF(AND(C121&gt;D121,C120&lt;=D120),"COMPRA (cruce alcista)",IF(AND(C121&lt;D121,C120&gt;=D120),"VENTA (cruce bajista)",""))</f>
        <v>0</v>
      </c>
      <c r="F121" s="24">
        <f>MAX(B121-B120,0)</f>
        <v>0</v>
      </c>
      <c r="G121" s="24">
        <f>MAX(B120-B121,0)</f>
        <v>0</v>
      </c>
      <c r="H121" s="26">
        <f>IF(SUM(G108:G121)=0,100,100-100/(1+AVERAGE(F108:F121)/AVERAGE(G108:G121)))</f>
        <v>0</v>
      </c>
      <c r="I121" s="24">
        <f>C121+2*_xlfn.STDEV.S(B102:B121)</f>
        <v>0</v>
      </c>
      <c r="J121" s="24">
        <f>C121-2*_xlfn.STDEV.S(B102:B121)</f>
        <v>0</v>
      </c>
    </row>
    <row r="122" spans="1:10">
      <c r="A122" s="12">
        <f>'1_Precios'!A120</f>
        <v>0</v>
      </c>
      <c r="B122" s="24">
        <f>INDEX('1_Precios'!$B$120:$F$120,MATCH($B$1,'1_Precios'!$B$1:$F$1,0))</f>
        <v>0</v>
      </c>
      <c r="C122" s="24">
        <f>AVERAGE(B103:B122)</f>
        <v>0</v>
      </c>
      <c r="D122" s="24">
        <f>AVERAGE(B73:B122)</f>
        <v>0</v>
      </c>
      <c r="E122" s="9">
        <f>IF(AND(C122&gt;D122,C121&lt;=D121),"COMPRA (cruce alcista)",IF(AND(C122&lt;D122,C121&gt;=D121),"VENTA (cruce bajista)",""))</f>
        <v>0</v>
      </c>
      <c r="F122" s="24">
        <f>MAX(B122-B121,0)</f>
        <v>0</v>
      </c>
      <c r="G122" s="24">
        <f>MAX(B121-B122,0)</f>
        <v>0</v>
      </c>
      <c r="H122" s="26">
        <f>IF(SUM(G109:G122)=0,100,100-100/(1+AVERAGE(F109:F122)/AVERAGE(G109:G122)))</f>
        <v>0</v>
      </c>
      <c r="I122" s="24">
        <f>C122+2*_xlfn.STDEV.S(B103:B122)</f>
        <v>0</v>
      </c>
      <c r="J122" s="24">
        <f>C122-2*_xlfn.STDEV.S(B103:B122)</f>
        <v>0</v>
      </c>
    </row>
    <row r="123" spans="1:10">
      <c r="A123" s="12">
        <f>'1_Precios'!A121</f>
        <v>0</v>
      </c>
      <c r="B123" s="24">
        <f>INDEX('1_Precios'!$B$121:$F$121,MATCH($B$1,'1_Precios'!$B$1:$F$1,0))</f>
        <v>0</v>
      </c>
      <c r="C123" s="24">
        <f>AVERAGE(B104:B123)</f>
        <v>0</v>
      </c>
      <c r="D123" s="24">
        <f>AVERAGE(B74:B123)</f>
        <v>0</v>
      </c>
      <c r="E123" s="9">
        <f>IF(AND(C123&gt;D123,C122&lt;=D122),"COMPRA (cruce alcista)",IF(AND(C123&lt;D123,C122&gt;=D122),"VENTA (cruce bajista)",""))</f>
        <v>0</v>
      </c>
      <c r="F123" s="24">
        <f>MAX(B123-B122,0)</f>
        <v>0</v>
      </c>
      <c r="G123" s="24">
        <f>MAX(B122-B123,0)</f>
        <v>0</v>
      </c>
      <c r="H123" s="26">
        <f>IF(SUM(G110:G123)=0,100,100-100/(1+AVERAGE(F110:F123)/AVERAGE(G110:G123)))</f>
        <v>0</v>
      </c>
      <c r="I123" s="24">
        <f>C123+2*_xlfn.STDEV.S(B104:B123)</f>
        <v>0</v>
      </c>
      <c r="J123" s="24">
        <f>C123-2*_xlfn.STDEV.S(B104:B123)</f>
        <v>0</v>
      </c>
    </row>
    <row r="124" spans="1:10">
      <c r="A124" s="12">
        <f>'1_Precios'!A122</f>
        <v>0</v>
      </c>
      <c r="B124" s="24">
        <f>INDEX('1_Precios'!$B$122:$F$122,MATCH($B$1,'1_Precios'!$B$1:$F$1,0))</f>
        <v>0</v>
      </c>
      <c r="C124" s="24">
        <f>AVERAGE(B105:B124)</f>
        <v>0</v>
      </c>
      <c r="D124" s="24">
        <f>AVERAGE(B75:B124)</f>
        <v>0</v>
      </c>
      <c r="E124" s="9">
        <f>IF(AND(C124&gt;D124,C123&lt;=D123),"COMPRA (cruce alcista)",IF(AND(C124&lt;D124,C123&gt;=D123),"VENTA (cruce bajista)",""))</f>
        <v>0</v>
      </c>
      <c r="F124" s="24">
        <f>MAX(B124-B123,0)</f>
        <v>0</v>
      </c>
      <c r="G124" s="24">
        <f>MAX(B123-B124,0)</f>
        <v>0</v>
      </c>
      <c r="H124" s="26">
        <f>IF(SUM(G111:G124)=0,100,100-100/(1+AVERAGE(F111:F124)/AVERAGE(G111:G124)))</f>
        <v>0</v>
      </c>
      <c r="I124" s="24">
        <f>C124+2*_xlfn.STDEV.S(B105:B124)</f>
        <v>0</v>
      </c>
      <c r="J124" s="24">
        <f>C124-2*_xlfn.STDEV.S(B105:B124)</f>
        <v>0</v>
      </c>
    </row>
    <row r="125" spans="1:10">
      <c r="A125" s="12">
        <f>'1_Precios'!A123</f>
        <v>0</v>
      </c>
      <c r="B125" s="24">
        <f>INDEX('1_Precios'!$B$123:$F$123,MATCH($B$1,'1_Precios'!$B$1:$F$1,0))</f>
        <v>0</v>
      </c>
      <c r="C125" s="24">
        <f>AVERAGE(B106:B125)</f>
        <v>0</v>
      </c>
      <c r="D125" s="24">
        <f>AVERAGE(B76:B125)</f>
        <v>0</v>
      </c>
      <c r="E125" s="9">
        <f>IF(AND(C125&gt;D125,C124&lt;=D124),"COMPRA (cruce alcista)",IF(AND(C125&lt;D125,C124&gt;=D124),"VENTA (cruce bajista)",""))</f>
        <v>0</v>
      </c>
      <c r="F125" s="24">
        <f>MAX(B125-B124,0)</f>
        <v>0</v>
      </c>
      <c r="G125" s="24">
        <f>MAX(B124-B125,0)</f>
        <v>0</v>
      </c>
      <c r="H125" s="26">
        <f>IF(SUM(G112:G125)=0,100,100-100/(1+AVERAGE(F112:F125)/AVERAGE(G112:G125)))</f>
        <v>0</v>
      </c>
      <c r="I125" s="24">
        <f>C125+2*_xlfn.STDEV.S(B106:B125)</f>
        <v>0</v>
      </c>
      <c r="J125" s="24">
        <f>C125-2*_xlfn.STDEV.S(B106:B125)</f>
        <v>0</v>
      </c>
    </row>
    <row r="126" spans="1:10">
      <c r="A126" s="12">
        <f>'1_Precios'!A124</f>
        <v>0</v>
      </c>
      <c r="B126" s="24">
        <f>INDEX('1_Precios'!$B$124:$F$124,MATCH($B$1,'1_Precios'!$B$1:$F$1,0))</f>
        <v>0</v>
      </c>
      <c r="C126" s="24">
        <f>AVERAGE(B107:B126)</f>
        <v>0</v>
      </c>
      <c r="D126" s="24">
        <f>AVERAGE(B77:B126)</f>
        <v>0</v>
      </c>
      <c r="E126" s="9">
        <f>IF(AND(C126&gt;D126,C125&lt;=D125),"COMPRA (cruce alcista)",IF(AND(C126&lt;D126,C125&gt;=D125),"VENTA (cruce bajista)",""))</f>
        <v>0</v>
      </c>
      <c r="F126" s="24">
        <f>MAX(B126-B125,0)</f>
        <v>0</v>
      </c>
      <c r="G126" s="24">
        <f>MAX(B125-B126,0)</f>
        <v>0</v>
      </c>
      <c r="H126" s="26">
        <f>IF(SUM(G113:G126)=0,100,100-100/(1+AVERAGE(F113:F126)/AVERAGE(G113:G126)))</f>
        <v>0</v>
      </c>
      <c r="I126" s="24">
        <f>C126+2*_xlfn.STDEV.S(B107:B126)</f>
        <v>0</v>
      </c>
      <c r="J126" s="24">
        <f>C126-2*_xlfn.STDEV.S(B107:B126)</f>
        <v>0</v>
      </c>
    </row>
    <row r="127" spans="1:10">
      <c r="A127" s="12">
        <f>'1_Precios'!A125</f>
        <v>0</v>
      </c>
      <c r="B127" s="24">
        <f>INDEX('1_Precios'!$B$125:$F$125,MATCH($B$1,'1_Precios'!$B$1:$F$1,0))</f>
        <v>0</v>
      </c>
      <c r="C127" s="24">
        <f>AVERAGE(B108:B127)</f>
        <v>0</v>
      </c>
      <c r="D127" s="24">
        <f>AVERAGE(B78:B127)</f>
        <v>0</v>
      </c>
      <c r="E127" s="9">
        <f>IF(AND(C127&gt;D127,C126&lt;=D126),"COMPRA (cruce alcista)",IF(AND(C127&lt;D127,C126&gt;=D126),"VENTA (cruce bajista)",""))</f>
        <v>0</v>
      </c>
      <c r="F127" s="24">
        <f>MAX(B127-B126,0)</f>
        <v>0</v>
      </c>
      <c r="G127" s="24">
        <f>MAX(B126-B127,0)</f>
        <v>0</v>
      </c>
      <c r="H127" s="26">
        <f>IF(SUM(G114:G127)=0,100,100-100/(1+AVERAGE(F114:F127)/AVERAGE(G114:G127)))</f>
        <v>0</v>
      </c>
      <c r="I127" s="24">
        <f>C127+2*_xlfn.STDEV.S(B108:B127)</f>
        <v>0</v>
      </c>
      <c r="J127" s="24">
        <f>C127-2*_xlfn.STDEV.S(B108:B127)</f>
        <v>0</v>
      </c>
    </row>
    <row r="128" spans="1:10">
      <c r="A128" s="12">
        <f>'1_Precios'!A126</f>
        <v>0</v>
      </c>
      <c r="B128" s="24">
        <f>INDEX('1_Precios'!$B$126:$F$126,MATCH($B$1,'1_Precios'!$B$1:$F$1,0))</f>
        <v>0</v>
      </c>
      <c r="C128" s="24">
        <f>AVERAGE(B109:B128)</f>
        <v>0</v>
      </c>
      <c r="D128" s="24">
        <f>AVERAGE(B79:B128)</f>
        <v>0</v>
      </c>
      <c r="E128" s="9">
        <f>IF(AND(C128&gt;D128,C127&lt;=D127),"COMPRA (cruce alcista)",IF(AND(C128&lt;D128,C127&gt;=D127),"VENTA (cruce bajista)",""))</f>
        <v>0</v>
      </c>
      <c r="F128" s="24">
        <f>MAX(B128-B127,0)</f>
        <v>0</v>
      </c>
      <c r="G128" s="24">
        <f>MAX(B127-B128,0)</f>
        <v>0</v>
      </c>
      <c r="H128" s="26">
        <f>IF(SUM(G115:G128)=0,100,100-100/(1+AVERAGE(F115:F128)/AVERAGE(G115:G128)))</f>
        <v>0</v>
      </c>
      <c r="I128" s="24">
        <f>C128+2*_xlfn.STDEV.S(B109:B128)</f>
        <v>0</v>
      </c>
      <c r="J128" s="24">
        <f>C128-2*_xlfn.STDEV.S(B109:B128)</f>
        <v>0</v>
      </c>
    </row>
    <row r="129" spans="1:10">
      <c r="A129" s="12">
        <f>'1_Precios'!A127</f>
        <v>0</v>
      </c>
      <c r="B129" s="24">
        <f>INDEX('1_Precios'!$B$127:$F$127,MATCH($B$1,'1_Precios'!$B$1:$F$1,0))</f>
        <v>0</v>
      </c>
      <c r="C129" s="24">
        <f>AVERAGE(B110:B129)</f>
        <v>0</v>
      </c>
      <c r="D129" s="24">
        <f>AVERAGE(B80:B129)</f>
        <v>0</v>
      </c>
      <c r="E129" s="9">
        <f>IF(AND(C129&gt;D129,C128&lt;=D128),"COMPRA (cruce alcista)",IF(AND(C129&lt;D129,C128&gt;=D128),"VENTA (cruce bajista)",""))</f>
        <v>0</v>
      </c>
      <c r="F129" s="24">
        <f>MAX(B129-B128,0)</f>
        <v>0</v>
      </c>
      <c r="G129" s="24">
        <f>MAX(B128-B129,0)</f>
        <v>0</v>
      </c>
      <c r="H129" s="26">
        <f>IF(SUM(G116:G129)=0,100,100-100/(1+AVERAGE(F116:F129)/AVERAGE(G116:G129)))</f>
        <v>0</v>
      </c>
      <c r="I129" s="24">
        <f>C129+2*_xlfn.STDEV.S(B110:B129)</f>
        <v>0</v>
      </c>
      <c r="J129" s="24">
        <f>C129-2*_xlfn.STDEV.S(B110:B129)</f>
        <v>0</v>
      </c>
    </row>
    <row r="130" spans="1:10">
      <c r="A130" s="12">
        <f>'1_Precios'!A128</f>
        <v>0</v>
      </c>
      <c r="B130" s="24">
        <f>INDEX('1_Precios'!$B$128:$F$128,MATCH($B$1,'1_Precios'!$B$1:$F$1,0))</f>
        <v>0</v>
      </c>
      <c r="C130" s="24">
        <f>AVERAGE(B111:B130)</f>
        <v>0</v>
      </c>
      <c r="D130" s="24">
        <f>AVERAGE(B81:B130)</f>
        <v>0</v>
      </c>
      <c r="E130" s="9">
        <f>IF(AND(C130&gt;D130,C129&lt;=D129),"COMPRA (cruce alcista)",IF(AND(C130&lt;D130,C129&gt;=D129),"VENTA (cruce bajista)",""))</f>
        <v>0</v>
      </c>
      <c r="F130" s="24">
        <f>MAX(B130-B129,0)</f>
        <v>0</v>
      </c>
      <c r="G130" s="24">
        <f>MAX(B129-B130,0)</f>
        <v>0</v>
      </c>
      <c r="H130" s="26">
        <f>IF(SUM(G117:G130)=0,100,100-100/(1+AVERAGE(F117:F130)/AVERAGE(G117:G130)))</f>
        <v>0</v>
      </c>
      <c r="I130" s="24">
        <f>C130+2*_xlfn.STDEV.S(B111:B130)</f>
        <v>0</v>
      </c>
      <c r="J130" s="24">
        <f>C130-2*_xlfn.STDEV.S(B111:B130)</f>
        <v>0</v>
      </c>
    </row>
    <row r="131" spans="1:10">
      <c r="A131" s="12">
        <f>'1_Precios'!A129</f>
        <v>0</v>
      </c>
      <c r="B131" s="24">
        <f>INDEX('1_Precios'!$B$129:$F$129,MATCH($B$1,'1_Precios'!$B$1:$F$1,0))</f>
        <v>0</v>
      </c>
      <c r="C131" s="24">
        <f>AVERAGE(B112:B131)</f>
        <v>0</v>
      </c>
      <c r="D131" s="24">
        <f>AVERAGE(B82:B131)</f>
        <v>0</v>
      </c>
      <c r="E131" s="9">
        <f>IF(AND(C131&gt;D131,C130&lt;=D130),"COMPRA (cruce alcista)",IF(AND(C131&lt;D131,C130&gt;=D130),"VENTA (cruce bajista)",""))</f>
        <v>0</v>
      </c>
      <c r="F131" s="24">
        <f>MAX(B131-B130,0)</f>
        <v>0</v>
      </c>
      <c r="G131" s="24">
        <f>MAX(B130-B131,0)</f>
        <v>0</v>
      </c>
      <c r="H131" s="26">
        <f>IF(SUM(G118:G131)=0,100,100-100/(1+AVERAGE(F118:F131)/AVERAGE(G118:G131)))</f>
        <v>0</v>
      </c>
      <c r="I131" s="24">
        <f>C131+2*_xlfn.STDEV.S(B112:B131)</f>
        <v>0</v>
      </c>
      <c r="J131" s="24">
        <f>C131-2*_xlfn.STDEV.S(B112:B131)</f>
        <v>0</v>
      </c>
    </row>
    <row r="132" spans="1:10">
      <c r="A132" s="12">
        <f>'1_Precios'!A130</f>
        <v>0</v>
      </c>
      <c r="B132" s="24">
        <f>INDEX('1_Precios'!$B$130:$F$130,MATCH($B$1,'1_Precios'!$B$1:$F$1,0))</f>
        <v>0</v>
      </c>
      <c r="C132" s="24">
        <f>AVERAGE(B113:B132)</f>
        <v>0</v>
      </c>
      <c r="D132" s="24">
        <f>AVERAGE(B83:B132)</f>
        <v>0</v>
      </c>
      <c r="E132" s="9">
        <f>IF(AND(C132&gt;D132,C131&lt;=D131),"COMPRA (cruce alcista)",IF(AND(C132&lt;D132,C131&gt;=D131),"VENTA (cruce bajista)",""))</f>
        <v>0</v>
      </c>
      <c r="F132" s="24">
        <f>MAX(B132-B131,0)</f>
        <v>0</v>
      </c>
      <c r="G132" s="24">
        <f>MAX(B131-B132,0)</f>
        <v>0</v>
      </c>
      <c r="H132" s="26">
        <f>IF(SUM(G119:G132)=0,100,100-100/(1+AVERAGE(F119:F132)/AVERAGE(G119:G132)))</f>
        <v>0</v>
      </c>
      <c r="I132" s="24">
        <f>C132+2*_xlfn.STDEV.S(B113:B132)</f>
        <v>0</v>
      </c>
      <c r="J132" s="24">
        <f>C132-2*_xlfn.STDEV.S(B113:B132)</f>
        <v>0</v>
      </c>
    </row>
    <row r="133" spans="1:10">
      <c r="A133" s="12">
        <f>'1_Precios'!A131</f>
        <v>0</v>
      </c>
      <c r="B133" s="24">
        <f>INDEX('1_Precios'!$B$131:$F$131,MATCH($B$1,'1_Precios'!$B$1:$F$1,0))</f>
        <v>0</v>
      </c>
      <c r="C133" s="24">
        <f>AVERAGE(B114:B133)</f>
        <v>0</v>
      </c>
      <c r="D133" s="24">
        <f>AVERAGE(B84:B133)</f>
        <v>0</v>
      </c>
      <c r="E133" s="9">
        <f>IF(AND(C133&gt;D133,C132&lt;=D132),"COMPRA (cruce alcista)",IF(AND(C133&lt;D133,C132&gt;=D132),"VENTA (cruce bajista)",""))</f>
        <v>0</v>
      </c>
      <c r="F133" s="24">
        <f>MAX(B133-B132,0)</f>
        <v>0</v>
      </c>
      <c r="G133" s="24">
        <f>MAX(B132-B133,0)</f>
        <v>0</v>
      </c>
      <c r="H133" s="26">
        <f>IF(SUM(G120:G133)=0,100,100-100/(1+AVERAGE(F120:F133)/AVERAGE(G120:G133)))</f>
        <v>0</v>
      </c>
      <c r="I133" s="24">
        <f>C133+2*_xlfn.STDEV.S(B114:B133)</f>
        <v>0</v>
      </c>
      <c r="J133" s="24">
        <f>C133-2*_xlfn.STDEV.S(B114:B133)</f>
        <v>0</v>
      </c>
    </row>
    <row r="134" spans="1:10">
      <c r="A134" s="12">
        <f>'1_Precios'!A132</f>
        <v>0</v>
      </c>
      <c r="B134" s="24">
        <f>INDEX('1_Precios'!$B$132:$F$132,MATCH($B$1,'1_Precios'!$B$1:$F$1,0))</f>
        <v>0</v>
      </c>
      <c r="C134" s="24">
        <f>AVERAGE(B115:B134)</f>
        <v>0</v>
      </c>
      <c r="D134" s="24">
        <f>AVERAGE(B85:B134)</f>
        <v>0</v>
      </c>
      <c r="E134" s="9">
        <f>IF(AND(C134&gt;D134,C133&lt;=D133),"COMPRA (cruce alcista)",IF(AND(C134&lt;D134,C133&gt;=D133),"VENTA (cruce bajista)",""))</f>
        <v>0</v>
      </c>
      <c r="F134" s="24">
        <f>MAX(B134-B133,0)</f>
        <v>0</v>
      </c>
      <c r="G134" s="24">
        <f>MAX(B133-B134,0)</f>
        <v>0</v>
      </c>
      <c r="H134" s="26">
        <f>IF(SUM(G121:G134)=0,100,100-100/(1+AVERAGE(F121:F134)/AVERAGE(G121:G134)))</f>
        <v>0</v>
      </c>
      <c r="I134" s="24">
        <f>C134+2*_xlfn.STDEV.S(B115:B134)</f>
        <v>0</v>
      </c>
      <c r="J134" s="24">
        <f>C134-2*_xlfn.STDEV.S(B115:B134)</f>
        <v>0</v>
      </c>
    </row>
    <row r="135" spans="1:10">
      <c r="A135" s="12">
        <f>'1_Precios'!A133</f>
        <v>0</v>
      </c>
      <c r="B135" s="24">
        <f>INDEX('1_Precios'!$B$133:$F$133,MATCH($B$1,'1_Precios'!$B$1:$F$1,0))</f>
        <v>0</v>
      </c>
      <c r="C135" s="24">
        <f>AVERAGE(B116:B135)</f>
        <v>0</v>
      </c>
      <c r="D135" s="24">
        <f>AVERAGE(B86:B135)</f>
        <v>0</v>
      </c>
      <c r="E135" s="9">
        <f>IF(AND(C135&gt;D135,C134&lt;=D134),"COMPRA (cruce alcista)",IF(AND(C135&lt;D135,C134&gt;=D134),"VENTA (cruce bajista)",""))</f>
        <v>0</v>
      </c>
      <c r="F135" s="24">
        <f>MAX(B135-B134,0)</f>
        <v>0</v>
      </c>
      <c r="G135" s="24">
        <f>MAX(B134-B135,0)</f>
        <v>0</v>
      </c>
      <c r="H135" s="26">
        <f>IF(SUM(G122:G135)=0,100,100-100/(1+AVERAGE(F122:F135)/AVERAGE(G122:G135)))</f>
        <v>0</v>
      </c>
      <c r="I135" s="24">
        <f>C135+2*_xlfn.STDEV.S(B116:B135)</f>
        <v>0</v>
      </c>
      <c r="J135" s="24">
        <f>C135-2*_xlfn.STDEV.S(B116:B135)</f>
        <v>0</v>
      </c>
    </row>
    <row r="136" spans="1:10">
      <c r="A136" s="12">
        <f>'1_Precios'!A134</f>
        <v>0</v>
      </c>
      <c r="B136" s="24">
        <f>INDEX('1_Precios'!$B$134:$F$134,MATCH($B$1,'1_Precios'!$B$1:$F$1,0))</f>
        <v>0</v>
      </c>
      <c r="C136" s="24">
        <f>AVERAGE(B117:B136)</f>
        <v>0</v>
      </c>
      <c r="D136" s="24">
        <f>AVERAGE(B87:B136)</f>
        <v>0</v>
      </c>
      <c r="E136" s="9">
        <f>IF(AND(C136&gt;D136,C135&lt;=D135),"COMPRA (cruce alcista)",IF(AND(C136&lt;D136,C135&gt;=D135),"VENTA (cruce bajista)",""))</f>
        <v>0</v>
      </c>
      <c r="F136" s="24">
        <f>MAX(B136-B135,0)</f>
        <v>0</v>
      </c>
      <c r="G136" s="24">
        <f>MAX(B135-B136,0)</f>
        <v>0</v>
      </c>
      <c r="H136" s="26">
        <f>IF(SUM(G123:G136)=0,100,100-100/(1+AVERAGE(F123:F136)/AVERAGE(G123:G136)))</f>
        <v>0</v>
      </c>
      <c r="I136" s="24">
        <f>C136+2*_xlfn.STDEV.S(B117:B136)</f>
        <v>0</v>
      </c>
      <c r="J136" s="24">
        <f>C136-2*_xlfn.STDEV.S(B117:B136)</f>
        <v>0</v>
      </c>
    </row>
    <row r="137" spans="1:10">
      <c r="A137" s="12">
        <f>'1_Precios'!A135</f>
        <v>0</v>
      </c>
      <c r="B137" s="24">
        <f>INDEX('1_Precios'!$B$135:$F$135,MATCH($B$1,'1_Precios'!$B$1:$F$1,0))</f>
        <v>0</v>
      </c>
      <c r="C137" s="24">
        <f>AVERAGE(B118:B137)</f>
        <v>0</v>
      </c>
      <c r="D137" s="24">
        <f>AVERAGE(B88:B137)</f>
        <v>0</v>
      </c>
      <c r="E137" s="9">
        <f>IF(AND(C137&gt;D137,C136&lt;=D136),"COMPRA (cruce alcista)",IF(AND(C137&lt;D137,C136&gt;=D136),"VENTA (cruce bajista)",""))</f>
        <v>0</v>
      </c>
      <c r="F137" s="24">
        <f>MAX(B137-B136,0)</f>
        <v>0</v>
      </c>
      <c r="G137" s="24">
        <f>MAX(B136-B137,0)</f>
        <v>0</v>
      </c>
      <c r="H137" s="26">
        <f>IF(SUM(G124:G137)=0,100,100-100/(1+AVERAGE(F124:F137)/AVERAGE(G124:G137)))</f>
        <v>0</v>
      </c>
      <c r="I137" s="24">
        <f>C137+2*_xlfn.STDEV.S(B118:B137)</f>
        <v>0</v>
      </c>
      <c r="J137" s="24">
        <f>C137-2*_xlfn.STDEV.S(B118:B137)</f>
        <v>0</v>
      </c>
    </row>
    <row r="138" spans="1:10">
      <c r="A138" s="12">
        <f>'1_Precios'!A136</f>
        <v>0</v>
      </c>
      <c r="B138" s="24">
        <f>INDEX('1_Precios'!$B$136:$F$136,MATCH($B$1,'1_Precios'!$B$1:$F$1,0))</f>
        <v>0</v>
      </c>
      <c r="C138" s="24">
        <f>AVERAGE(B119:B138)</f>
        <v>0</v>
      </c>
      <c r="D138" s="24">
        <f>AVERAGE(B89:B138)</f>
        <v>0</v>
      </c>
      <c r="E138" s="9">
        <f>IF(AND(C138&gt;D138,C137&lt;=D137),"COMPRA (cruce alcista)",IF(AND(C138&lt;D138,C137&gt;=D137),"VENTA (cruce bajista)",""))</f>
        <v>0</v>
      </c>
      <c r="F138" s="24">
        <f>MAX(B138-B137,0)</f>
        <v>0</v>
      </c>
      <c r="G138" s="24">
        <f>MAX(B137-B138,0)</f>
        <v>0</v>
      </c>
      <c r="H138" s="26">
        <f>IF(SUM(G125:G138)=0,100,100-100/(1+AVERAGE(F125:F138)/AVERAGE(G125:G138)))</f>
        <v>0</v>
      </c>
      <c r="I138" s="24">
        <f>C138+2*_xlfn.STDEV.S(B119:B138)</f>
        <v>0</v>
      </c>
      <c r="J138" s="24">
        <f>C138-2*_xlfn.STDEV.S(B119:B138)</f>
        <v>0</v>
      </c>
    </row>
    <row r="139" spans="1:10">
      <c r="A139" s="12">
        <f>'1_Precios'!A137</f>
        <v>0</v>
      </c>
      <c r="B139" s="24">
        <f>INDEX('1_Precios'!$B$137:$F$137,MATCH($B$1,'1_Precios'!$B$1:$F$1,0))</f>
        <v>0</v>
      </c>
      <c r="C139" s="24">
        <f>AVERAGE(B120:B139)</f>
        <v>0</v>
      </c>
      <c r="D139" s="24">
        <f>AVERAGE(B90:B139)</f>
        <v>0</v>
      </c>
      <c r="E139" s="9">
        <f>IF(AND(C139&gt;D139,C138&lt;=D138),"COMPRA (cruce alcista)",IF(AND(C139&lt;D139,C138&gt;=D138),"VENTA (cruce bajista)",""))</f>
        <v>0</v>
      </c>
      <c r="F139" s="24">
        <f>MAX(B139-B138,0)</f>
        <v>0</v>
      </c>
      <c r="G139" s="24">
        <f>MAX(B138-B139,0)</f>
        <v>0</v>
      </c>
      <c r="H139" s="26">
        <f>IF(SUM(G126:G139)=0,100,100-100/(1+AVERAGE(F126:F139)/AVERAGE(G126:G139)))</f>
        <v>0</v>
      </c>
      <c r="I139" s="24">
        <f>C139+2*_xlfn.STDEV.S(B120:B139)</f>
        <v>0</v>
      </c>
      <c r="J139" s="24">
        <f>C139-2*_xlfn.STDEV.S(B120:B139)</f>
        <v>0</v>
      </c>
    </row>
    <row r="140" spans="1:10">
      <c r="A140" s="12">
        <f>'1_Precios'!A138</f>
        <v>0</v>
      </c>
      <c r="B140" s="24">
        <f>INDEX('1_Precios'!$B$138:$F$138,MATCH($B$1,'1_Precios'!$B$1:$F$1,0))</f>
        <v>0</v>
      </c>
      <c r="C140" s="24">
        <f>AVERAGE(B121:B140)</f>
        <v>0</v>
      </c>
      <c r="D140" s="24">
        <f>AVERAGE(B91:B140)</f>
        <v>0</v>
      </c>
      <c r="E140" s="9">
        <f>IF(AND(C140&gt;D140,C139&lt;=D139),"COMPRA (cruce alcista)",IF(AND(C140&lt;D140,C139&gt;=D139),"VENTA (cruce bajista)",""))</f>
        <v>0</v>
      </c>
      <c r="F140" s="24">
        <f>MAX(B140-B139,0)</f>
        <v>0</v>
      </c>
      <c r="G140" s="24">
        <f>MAX(B139-B140,0)</f>
        <v>0</v>
      </c>
      <c r="H140" s="26">
        <f>IF(SUM(G127:G140)=0,100,100-100/(1+AVERAGE(F127:F140)/AVERAGE(G127:G140)))</f>
        <v>0</v>
      </c>
      <c r="I140" s="24">
        <f>C140+2*_xlfn.STDEV.S(B121:B140)</f>
        <v>0</v>
      </c>
      <c r="J140" s="24">
        <f>C140-2*_xlfn.STDEV.S(B121:B140)</f>
        <v>0</v>
      </c>
    </row>
    <row r="141" spans="1:10">
      <c r="A141" s="12">
        <f>'1_Precios'!A139</f>
        <v>0</v>
      </c>
      <c r="B141" s="24">
        <f>INDEX('1_Precios'!$B$139:$F$139,MATCH($B$1,'1_Precios'!$B$1:$F$1,0))</f>
        <v>0</v>
      </c>
      <c r="C141" s="24">
        <f>AVERAGE(B122:B141)</f>
        <v>0</v>
      </c>
      <c r="D141" s="24">
        <f>AVERAGE(B92:B141)</f>
        <v>0</v>
      </c>
      <c r="E141" s="9">
        <f>IF(AND(C141&gt;D141,C140&lt;=D140),"COMPRA (cruce alcista)",IF(AND(C141&lt;D141,C140&gt;=D140),"VENTA (cruce bajista)",""))</f>
        <v>0</v>
      </c>
      <c r="F141" s="24">
        <f>MAX(B141-B140,0)</f>
        <v>0</v>
      </c>
      <c r="G141" s="24">
        <f>MAX(B140-B141,0)</f>
        <v>0</v>
      </c>
      <c r="H141" s="26">
        <f>IF(SUM(G128:G141)=0,100,100-100/(1+AVERAGE(F128:F141)/AVERAGE(G128:G141)))</f>
        <v>0</v>
      </c>
      <c r="I141" s="24">
        <f>C141+2*_xlfn.STDEV.S(B122:B141)</f>
        <v>0</v>
      </c>
      <c r="J141" s="24">
        <f>C141-2*_xlfn.STDEV.S(B122:B141)</f>
        <v>0</v>
      </c>
    </row>
    <row r="142" spans="1:10">
      <c r="A142" s="12">
        <f>'1_Precios'!A140</f>
        <v>0</v>
      </c>
      <c r="B142" s="24">
        <f>INDEX('1_Precios'!$B$140:$F$140,MATCH($B$1,'1_Precios'!$B$1:$F$1,0))</f>
        <v>0</v>
      </c>
      <c r="C142" s="24">
        <f>AVERAGE(B123:B142)</f>
        <v>0</v>
      </c>
      <c r="D142" s="24">
        <f>AVERAGE(B93:B142)</f>
        <v>0</v>
      </c>
      <c r="E142" s="9">
        <f>IF(AND(C142&gt;D142,C141&lt;=D141),"COMPRA (cruce alcista)",IF(AND(C142&lt;D142,C141&gt;=D141),"VENTA (cruce bajista)",""))</f>
        <v>0</v>
      </c>
      <c r="F142" s="24">
        <f>MAX(B142-B141,0)</f>
        <v>0</v>
      </c>
      <c r="G142" s="24">
        <f>MAX(B141-B142,0)</f>
        <v>0</v>
      </c>
      <c r="H142" s="26">
        <f>IF(SUM(G129:G142)=0,100,100-100/(1+AVERAGE(F129:F142)/AVERAGE(G129:G142)))</f>
        <v>0</v>
      </c>
      <c r="I142" s="24">
        <f>C142+2*_xlfn.STDEV.S(B123:B142)</f>
        <v>0</v>
      </c>
      <c r="J142" s="24">
        <f>C142-2*_xlfn.STDEV.S(B123:B142)</f>
        <v>0</v>
      </c>
    </row>
    <row r="143" spans="1:10">
      <c r="A143" s="12">
        <f>'1_Precios'!A141</f>
        <v>0</v>
      </c>
      <c r="B143" s="24">
        <f>INDEX('1_Precios'!$B$141:$F$141,MATCH($B$1,'1_Precios'!$B$1:$F$1,0))</f>
        <v>0</v>
      </c>
      <c r="C143" s="24">
        <f>AVERAGE(B124:B143)</f>
        <v>0</v>
      </c>
      <c r="D143" s="24">
        <f>AVERAGE(B94:B143)</f>
        <v>0</v>
      </c>
      <c r="E143" s="9">
        <f>IF(AND(C143&gt;D143,C142&lt;=D142),"COMPRA (cruce alcista)",IF(AND(C143&lt;D143,C142&gt;=D142),"VENTA (cruce bajista)",""))</f>
        <v>0</v>
      </c>
      <c r="F143" s="24">
        <f>MAX(B143-B142,0)</f>
        <v>0</v>
      </c>
      <c r="G143" s="24">
        <f>MAX(B142-B143,0)</f>
        <v>0</v>
      </c>
      <c r="H143" s="26">
        <f>IF(SUM(G130:G143)=0,100,100-100/(1+AVERAGE(F130:F143)/AVERAGE(G130:G143)))</f>
        <v>0</v>
      </c>
      <c r="I143" s="24">
        <f>C143+2*_xlfn.STDEV.S(B124:B143)</f>
        <v>0</v>
      </c>
      <c r="J143" s="24">
        <f>C143-2*_xlfn.STDEV.S(B124:B143)</f>
        <v>0</v>
      </c>
    </row>
    <row r="144" spans="1:10">
      <c r="A144" s="12">
        <f>'1_Precios'!A142</f>
        <v>0</v>
      </c>
      <c r="B144" s="24">
        <f>INDEX('1_Precios'!$B$142:$F$142,MATCH($B$1,'1_Precios'!$B$1:$F$1,0))</f>
        <v>0</v>
      </c>
      <c r="C144" s="24">
        <f>AVERAGE(B125:B144)</f>
        <v>0</v>
      </c>
      <c r="D144" s="24">
        <f>AVERAGE(B95:B144)</f>
        <v>0</v>
      </c>
      <c r="E144" s="9">
        <f>IF(AND(C144&gt;D144,C143&lt;=D143),"COMPRA (cruce alcista)",IF(AND(C144&lt;D144,C143&gt;=D143),"VENTA (cruce bajista)",""))</f>
        <v>0</v>
      </c>
      <c r="F144" s="24">
        <f>MAX(B144-B143,0)</f>
        <v>0</v>
      </c>
      <c r="G144" s="24">
        <f>MAX(B143-B144,0)</f>
        <v>0</v>
      </c>
      <c r="H144" s="26">
        <f>IF(SUM(G131:G144)=0,100,100-100/(1+AVERAGE(F131:F144)/AVERAGE(G131:G144)))</f>
        <v>0</v>
      </c>
      <c r="I144" s="24">
        <f>C144+2*_xlfn.STDEV.S(B125:B144)</f>
        <v>0</v>
      </c>
      <c r="J144" s="24">
        <f>C144-2*_xlfn.STDEV.S(B125:B144)</f>
        <v>0</v>
      </c>
    </row>
    <row r="145" spans="1:10">
      <c r="A145" s="12">
        <f>'1_Precios'!A143</f>
        <v>0</v>
      </c>
      <c r="B145" s="24">
        <f>INDEX('1_Precios'!$B$143:$F$143,MATCH($B$1,'1_Precios'!$B$1:$F$1,0))</f>
        <v>0</v>
      </c>
      <c r="C145" s="24">
        <f>AVERAGE(B126:B145)</f>
        <v>0</v>
      </c>
      <c r="D145" s="24">
        <f>AVERAGE(B96:B145)</f>
        <v>0</v>
      </c>
      <c r="E145" s="9">
        <f>IF(AND(C145&gt;D145,C144&lt;=D144),"COMPRA (cruce alcista)",IF(AND(C145&lt;D145,C144&gt;=D144),"VENTA (cruce bajista)",""))</f>
        <v>0</v>
      </c>
      <c r="F145" s="24">
        <f>MAX(B145-B144,0)</f>
        <v>0</v>
      </c>
      <c r="G145" s="24">
        <f>MAX(B144-B145,0)</f>
        <v>0</v>
      </c>
      <c r="H145" s="26">
        <f>IF(SUM(G132:G145)=0,100,100-100/(1+AVERAGE(F132:F145)/AVERAGE(G132:G145)))</f>
        <v>0</v>
      </c>
      <c r="I145" s="24">
        <f>C145+2*_xlfn.STDEV.S(B126:B145)</f>
        <v>0</v>
      </c>
      <c r="J145" s="24">
        <f>C145-2*_xlfn.STDEV.S(B126:B145)</f>
        <v>0</v>
      </c>
    </row>
    <row r="146" spans="1:10">
      <c r="A146" s="12">
        <f>'1_Precios'!A144</f>
        <v>0</v>
      </c>
      <c r="B146" s="24">
        <f>INDEX('1_Precios'!$B$144:$F$144,MATCH($B$1,'1_Precios'!$B$1:$F$1,0))</f>
        <v>0</v>
      </c>
      <c r="C146" s="24">
        <f>AVERAGE(B127:B146)</f>
        <v>0</v>
      </c>
      <c r="D146" s="24">
        <f>AVERAGE(B97:B146)</f>
        <v>0</v>
      </c>
      <c r="E146" s="9">
        <f>IF(AND(C146&gt;D146,C145&lt;=D145),"COMPRA (cruce alcista)",IF(AND(C146&lt;D146,C145&gt;=D145),"VENTA (cruce bajista)",""))</f>
        <v>0</v>
      </c>
      <c r="F146" s="24">
        <f>MAX(B146-B145,0)</f>
        <v>0</v>
      </c>
      <c r="G146" s="24">
        <f>MAX(B145-B146,0)</f>
        <v>0</v>
      </c>
      <c r="H146" s="26">
        <f>IF(SUM(G133:G146)=0,100,100-100/(1+AVERAGE(F133:F146)/AVERAGE(G133:G146)))</f>
        <v>0</v>
      </c>
      <c r="I146" s="24">
        <f>C146+2*_xlfn.STDEV.S(B127:B146)</f>
        <v>0</v>
      </c>
      <c r="J146" s="24">
        <f>C146-2*_xlfn.STDEV.S(B127:B146)</f>
        <v>0</v>
      </c>
    </row>
    <row r="147" spans="1:10">
      <c r="A147" s="12">
        <f>'1_Precios'!A145</f>
        <v>0</v>
      </c>
      <c r="B147" s="24">
        <f>INDEX('1_Precios'!$B$145:$F$145,MATCH($B$1,'1_Precios'!$B$1:$F$1,0))</f>
        <v>0</v>
      </c>
      <c r="C147" s="24">
        <f>AVERAGE(B128:B147)</f>
        <v>0</v>
      </c>
      <c r="D147" s="24">
        <f>AVERAGE(B98:B147)</f>
        <v>0</v>
      </c>
      <c r="E147" s="9">
        <f>IF(AND(C147&gt;D147,C146&lt;=D146),"COMPRA (cruce alcista)",IF(AND(C147&lt;D147,C146&gt;=D146),"VENTA (cruce bajista)",""))</f>
        <v>0</v>
      </c>
      <c r="F147" s="24">
        <f>MAX(B147-B146,0)</f>
        <v>0</v>
      </c>
      <c r="G147" s="24">
        <f>MAX(B146-B147,0)</f>
        <v>0</v>
      </c>
      <c r="H147" s="26">
        <f>IF(SUM(G134:G147)=0,100,100-100/(1+AVERAGE(F134:F147)/AVERAGE(G134:G147)))</f>
        <v>0</v>
      </c>
      <c r="I147" s="24">
        <f>C147+2*_xlfn.STDEV.S(B128:B147)</f>
        <v>0</v>
      </c>
      <c r="J147" s="24">
        <f>C147-2*_xlfn.STDEV.S(B128:B147)</f>
        <v>0</v>
      </c>
    </row>
    <row r="148" spans="1:10">
      <c r="A148" s="12">
        <f>'1_Precios'!A146</f>
        <v>0</v>
      </c>
      <c r="B148" s="24">
        <f>INDEX('1_Precios'!$B$146:$F$146,MATCH($B$1,'1_Precios'!$B$1:$F$1,0))</f>
        <v>0</v>
      </c>
      <c r="C148" s="24">
        <f>AVERAGE(B129:B148)</f>
        <v>0</v>
      </c>
      <c r="D148" s="24">
        <f>AVERAGE(B99:B148)</f>
        <v>0</v>
      </c>
      <c r="E148" s="9">
        <f>IF(AND(C148&gt;D148,C147&lt;=D147),"COMPRA (cruce alcista)",IF(AND(C148&lt;D148,C147&gt;=D147),"VENTA (cruce bajista)",""))</f>
        <v>0</v>
      </c>
      <c r="F148" s="24">
        <f>MAX(B148-B147,0)</f>
        <v>0</v>
      </c>
      <c r="G148" s="24">
        <f>MAX(B147-B148,0)</f>
        <v>0</v>
      </c>
      <c r="H148" s="26">
        <f>IF(SUM(G135:G148)=0,100,100-100/(1+AVERAGE(F135:F148)/AVERAGE(G135:G148)))</f>
        <v>0</v>
      </c>
      <c r="I148" s="24">
        <f>C148+2*_xlfn.STDEV.S(B129:B148)</f>
        <v>0</v>
      </c>
      <c r="J148" s="24">
        <f>C148-2*_xlfn.STDEV.S(B129:B148)</f>
        <v>0</v>
      </c>
    </row>
    <row r="149" spans="1:10">
      <c r="A149" s="12">
        <f>'1_Precios'!A147</f>
        <v>0</v>
      </c>
      <c r="B149" s="24">
        <f>INDEX('1_Precios'!$B$147:$F$147,MATCH($B$1,'1_Precios'!$B$1:$F$1,0))</f>
        <v>0</v>
      </c>
      <c r="C149" s="24">
        <f>AVERAGE(B130:B149)</f>
        <v>0</v>
      </c>
      <c r="D149" s="24">
        <f>AVERAGE(B100:B149)</f>
        <v>0</v>
      </c>
      <c r="E149" s="9">
        <f>IF(AND(C149&gt;D149,C148&lt;=D148),"COMPRA (cruce alcista)",IF(AND(C149&lt;D149,C148&gt;=D148),"VENTA (cruce bajista)",""))</f>
        <v>0</v>
      </c>
      <c r="F149" s="24">
        <f>MAX(B149-B148,0)</f>
        <v>0</v>
      </c>
      <c r="G149" s="24">
        <f>MAX(B148-B149,0)</f>
        <v>0</v>
      </c>
      <c r="H149" s="26">
        <f>IF(SUM(G136:G149)=0,100,100-100/(1+AVERAGE(F136:F149)/AVERAGE(G136:G149)))</f>
        <v>0</v>
      </c>
      <c r="I149" s="24">
        <f>C149+2*_xlfn.STDEV.S(B130:B149)</f>
        <v>0</v>
      </c>
      <c r="J149" s="24">
        <f>C149-2*_xlfn.STDEV.S(B130:B149)</f>
        <v>0</v>
      </c>
    </row>
    <row r="150" spans="1:10">
      <c r="A150" s="12">
        <f>'1_Precios'!A148</f>
        <v>0</v>
      </c>
      <c r="B150" s="24">
        <f>INDEX('1_Precios'!$B$148:$F$148,MATCH($B$1,'1_Precios'!$B$1:$F$1,0))</f>
        <v>0</v>
      </c>
      <c r="C150" s="24">
        <f>AVERAGE(B131:B150)</f>
        <v>0</v>
      </c>
      <c r="D150" s="24">
        <f>AVERAGE(B101:B150)</f>
        <v>0</v>
      </c>
      <c r="E150" s="9">
        <f>IF(AND(C150&gt;D150,C149&lt;=D149),"COMPRA (cruce alcista)",IF(AND(C150&lt;D150,C149&gt;=D149),"VENTA (cruce bajista)",""))</f>
        <v>0</v>
      </c>
      <c r="F150" s="24">
        <f>MAX(B150-B149,0)</f>
        <v>0</v>
      </c>
      <c r="G150" s="24">
        <f>MAX(B149-B150,0)</f>
        <v>0</v>
      </c>
      <c r="H150" s="26">
        <f>IF(SUM(G137:G150)=0,100,100-100/(1+AVERAGE(F137:F150)/AVERAGE(G137:G150)))</f>
        <v>0</v>
      </c>
      <c r="I150" s="24">
        <f>C150+2*_xlfn.STDEV.S(B131:B150)</f>
        <v>0</v>
      </c>
      <c r="J150" s="24">
        <f>C150-2*_xlfn.STDEV.S(B131:B150)</f>
        <v>0</v>
      </c>
    </row>
    <row r="151" spans="1:10">
      <c r="A151" s="12">
        <f>'1_Precios'!A149</f>
        <v>0</v>
      </c>
      <c r="B151" s="24">
        <f>INDEX('1_Precios'!$B$149:$F$149,MATCH($B$1,'1_Precios'!$B$1:$F$1,0))</f>
        <v>0</v>
      </c>
      <c r="C151" s="24">
        <f>AVERAGE(B132:B151)</f>
        <v>0</v>
      </c>
      <c r="D151" s="24">
        <f>AVERAGE(B102:B151)</f>
        <v>0</v>
      </c>
      <c r="E151" s="9">
        <f>IF(AND(C151&gt;D151,C150&lt;=D150),"COMPRA (cruce alcista)",IF(AND(C151&lt;D151,C150&gt;=D150),"VENTA (cruce bajista)",""))</f>
        <v>0</v>
      </c>
      <c r="F151" s="24">
        <f>MAX(B151-B150,0)</f>
        <v>0</v>
      </c>
      <c r="G151" s="24">
        <f>MAX(B150-B151,0)</f>
        <v>0</v>
      </c>
      <c r="H151" s="26">
        <f>IF(SUM(G138:G151)=0,100,100-100/(1+AVERAGE(F138:F151)/AVERAGE(G138:G151)))</f>
        <v>0</v>
      </c>
      <c r="I151" s="24">
        <f>C151+2*_xlfn.STDEV.S(B132:B151)</f>
        <v>0</v>
      </c>
      <c r="J151" s="24">
        <f>C151-2*_xlfn.STDEV.S(B132:B151)</f>
        <v>0</v>
      </c>
    </row>
    <row r="152" spans="1:10">
      <c r="A152" s="12">
        <f>'1_Precios'!A150</f>
        <v>0</v>
      </c>
      <c r="B152" s="24">
        <f>INDEX('1_Precios'!$B$150:$F$150,MATCH($B$1,'1_Precios'!$B$1:$F$1,0))</f>
        <v>0</v>
      </c>
      <c r="C152" s="24">
        <f>AVERAGE(B133:B152)</f>
        <v>0</v>
      </c>
      <c r="D152" s="24">
        <f>AVERAGE(B103:B152)</f>
        <v>0</v>
      </c>
      <c r="E152" s="9">
        <f>IF(AND(C152&gt;D152,C151&lt;=D151),"COMPRA (cruce alcista)",IF(AND(C152&lt;D152,C151&gt;=D151),"VENTA (cruce bajista)",""))</f>
        <v>0</v>
      </c>
      <c r="F152" s="24">
        <f>MAX(B152-B151,0)</f>
        <v>0</v>
      </c>
      <c r="G152" s="24">
        <f>MAX(B151-B152,0)</f>
        <v>0</v>
      </c>
      <c r="H152" s="26">
        <f>IF(SUM(G139:G152)=0,100,100-100/(1+AVERAGE(F139:F152)/AVERAGE(G139:G152)))</f>
        <v>0</v>
      </c>
      <c r="I152" s="24">
        <f>C152+2*_xlfn.STDEV.S(B133:B152)</f>
        <v>0</v>
      </c>
      <c r="J152" s="24">
        <f>C152-2*_xlfn.STDEV.S(B133:B152)</f>
        <v>0</v>
      </c>
    </row>
    <row r="153" spans="1:10">
      <c r="A153" s="12">
        <f>'1_Precios'!A151</f>
        <v>0</v>
      </c>
      <c r="B153" s="24">
        <f>INDEX('1_Precios'!$B$151:$F$151,MATCH($B$1,'1_Precios'!$B$1:$F$1,0))</f>
        <v>0</v>
      </c>
      <c r="C153" s="24">
        <f>AVERAGE(B134:B153)</f>
        <v>0</v>
      </c>
      <c r="D153" s="24">
        <f>AVERAGE(B104:B153)</f>
        <v>0</v>
      </c>
      <c r="E153" s="9">
        <f>IF(AND(C153&gt;D153,C152&lt;=D152),"COMPRA (cruce alcista)",IF(AND(C153&lt;D153,C152&gt;=D152),"VENTA (cruce bajista)",""))</f>
        <v>0</v>
      </c>
      <c r="F153" s="24">
        <f>MAX(B153-B152,0)</f>
        <v>0</v>
      </c>
      <c r="G153" s="24">
        <f>MAX(B152-B153,0)</f>
        <v>0</v>
      </c>
      <c r="H153" s="26">
        <f>IF(SUM(G140:G153)=0,100,100-100/(1+AVERAGE(F140:F153)/AVERAGE(G140:G153)))</f>
        <v>0</v>
      </c>
      <c r="I153" s="24">
        <f>C153+2*_xlfn.STDEV.S(B134:B153)</f>
        <v>0</v>
      </c>
      <c r="J153" s="24">
        <f>C153-2*_xlfn.STDEV.S(B134:B153)</f>
        <v>0</v>
      </c>
    </row>
    <row r="154" spans="1:10">
      <c r="A154" s="12">
        <f>'1_Precios'!A152</f>
        <v>0</v>
      </c>
      <c r="B154" s="24">
        <f>INDEX('1_Precios'!$B$152:$F$152,MATCH($B$1,'1_Precios'!$B$1:$F$1,0))</f>
        <v>0</v>
      </c>
      <c r="C154" s="24">
        <f>AVERAGE(B135:B154)</f>
        <v>0</v>
      </c>
      <c r="D154" s="24">
        <f>AVERAGE(B105:B154)</f>
        <v>0</v>
      </c>
      <c r="E154" s="9">
        <f>IF(AND(C154&gt;D154,C153&lt;=D153),"COMPRA (cruce alcista)",IF(AND(C154&lt;D154,C153&gt;=D153),"VENTA (cruce bajista)",""))</f>
        <v>0</v>
      </c>
      <c r="F154" s="24">
        <f>MAX(B154-B153,0)</f>
        <v>0</v>
      </c>
      <c r="G154" s="24">
        <f>MAX(B153-B154,0)</f>
        <v>0</v>
      </c>
      <c r="H154" s="26">
        <f>IF(SUM(G141:G154)=0,100,100-100/(1+AVERAGE(F141:F154)/AVERAGE(G141:G154)))</f>
        <v>0</v>
      </c>
      <c r="I154" s="24">
        <f>C154+2*_xlfn.STDEV.S(B135:B154)</f>
        <v>0</v>
      </c>
      <c r="J154" s="24">
        <f>C154-2*_xlfn.STDEV.S(B135:B154)</f>
        <v>0</v>
      </c>
    </row>
    <row r="155" spans="1:10">
      <c r="A155" s="12">
        <f>'1_Precios'!A153</f>
        <v>0</v>
      </c>
      <c r="B155" s="24">
        <f>INDEX('1_Precios'!$B$153:$F$153,MATCH($B$1,'1_Precios'!$B$1:$F$1,0))</f>
        <v>0</v>
      </c>
      <c r="C155" s="24">
        <f>AVERAGE(B136:B155)</f>
        <v>0</v>
      </c>
      <c r="D155" s="24">
        <f>AVERAGE(B106:B155)</f>
        <v>0</v>
      </c>
      <c r="E155" s="9">
        <f>IF(AND(C155&gt;D155,C154&lt;=D154),"COMPRA (cruce alcista)",IF(AND(C155&lt;D155,C154&gt;=D154),"VENTA (cruce bajista)",""))</f>
        <v>0</v>
      </c>
      <c r="F155" s="24">
        <f>MAX(B155-B154,0)</f>
        <v>0</v>
      </c>
      <c r="G155" s="24">
        <f>MAX(B154-B155,0)</f>
        <v>0</v>
      </c>
      <c r="H155" s="26">
        <f>IF(SUM(G142:G155)=0,100,100-100/(1+AVERAGE(F142:F155)/AVERAGE(G142:G155)))</f>
        <v>0</v>
      </c>
      <c r="I155" s="24">
        <f>C155+2*_xlfn.STDEV.S(B136:B155)</f>
        <v>0</v>
      </c>
      <c r="J155" s="24">
        <f>C155-2*_xlfn.STDEV.S(B136:B155)</f>
        <v>0</v>
      </c>
    </row>
    <row r="156" spans="1:10">
      <c r="A156" s="12">
        <f>'1_Precios'!A154</f>
        <v>0</v>
      </c>
      <c r="B156" s="24">
        <f>INDEX('1_Precios'!$B$154:$F$154,MATCH($B$1,'1_Precios'!$B$1:$F$1,0))</f>
        <v>0</v>
      </c>
      <c r="C156" s="24">
        <f>AVERAGE(B137:B156)</f>
        <v>0</v>
      </c>
      <c r="D156" s="24">
        <f>AVERAGE(B107:B156)</f>
        <v>0</v>
      </c>
      <c r="E156" s="9">
        <f>IF(AND(C156&gt;D156,C155&lt;=D155),"COMPRA (cruce alcista)",IF(AND(C156&lt;D156,C155&gt;=D155),"VENTA (cruce bajista)",""))</f>
        <v>0</v>
      </c>
      <c r="F156" s="24">
        <f>MAX(B156-B155,0)</f>
        <v>0</v>
      </c>
      <c r="G156" s="24">
        <f>MAX(B155-B156,0)</f>
        <v>0</v>
      </c>
      <c r="H156" s="26">
        <f>IF(SUM(G143:G156)=0,100,100-100/(1+AVERAGE(F143:F156)/AVERAGE(G143:G156)))</f>
        <v>0</v>
      </c>
      <c r="I156" s="24">
        <f>C156+2*_xlfn.STDEV.S(B137:B156)</f>
        <v>0</v>
      </c>
      <c r="J156" s="24">
        <f>C156-2*_xlfn.STDEV.S(B137:B156)</f>
        <v>0</v>
      </c>
    </row>
    <row r="157" spans="1:10">
      <c r="A157" s="12">
        <f>'1_Precios'!A155</f>
        <v>0</v>
      </c>
      <c r="B157" s="24">
        <f>INDEX('1_Precios'!$B$155:$F$155,MATCH($B$1,'1_Precios'!$B$1:$F$1,0))</f>
        <v>0</v>
      </c>
      <c r="C157" s="24">
        <f>AVERAGE(B138:B157)</f>
        <v>0</v>
      </c>
      <c r="D157" s="24">
        <f>AVERAGE(B108:B157)</f>
        <v>0</v>
      </c>
      <c r="E157" s="9">
        <f>IF(AND(C157&gt;D157,C156&lt;=D156),"COMPRA (cruce alcista)",IF(AND(C157&lt;D157,C156&gt;=D156),"VENTA (cruce bajista)",""))</f>
        <v>0</v>
      </c>
      <c r="F157" s="24">
        <f>MAX(B157-B156,0)</f>
        <v>0</v>
      </c>
      <c r="G157" s="24">
        <f>MAX(B156-B157,0)</f>
        <v>0</v>
      </c>
      <c r="H157" s="26">
        <f>IF(SUM(G144:G157)=0,100,100-100/(1+AVERAGE(F144:F157)/AVERAGE(G144:G157)))</f>
        <v>0</v>
      </c>
      <c r="I157" s="24">
        <f>C157+2*_xlfn.STDEV.S(B138:B157)</f>
        <v>0</v>
      </c>
      <c r="J157" s="24">
        <f>C157-2*_xlfn.STDEV.S(B138:B157)</f>
        <v>0</v>
      </c>
    </row>
    <row r="158" spans="1:10">
      <c r="A158" s="12">
        <f>'1_Precios'!A156</f>
        <v>0</v>
      </c>
      <c r="B158" s="24">
        <f>INDEX('1_Precios'!$B$156:$F$156,MATCH($B$1,'1_Precios'!$B$1:$F$1,0))</f>
        <v>0</v>
      </c>
      <c r="C158" s="24">
        <f>AVERAGE(B139:B158)</f>
        <v>0</v>
      </c>
      <c r="D158" s="24">
        <f>AVERAGE(B109:B158)</f>
        <v>0</v>
      </c>
      <c r="E158" s="9">
        <f>IF(AND(C158&gt;D158,C157&lt;=D157),"COMPRA (cruce alcista)",IF(AND(C158&lt;D158,C157&gt;=D157),"VENTA (cruce bajista)",""))</f>
        <v>0</v>
      </c>
      <c r="F158" s="24">
        <f>MAX(B158-B157,0)</f>
        <v>0</v>
      </c>
      <c r="G158" s="24">
        <f>MAX(B157-B158,0)</f>
        <v>0</v>
      </c>
      <c r="H158" s="26">
        <f>IF(SUM(G145:G158)=0,100,100-100/(1+AVERAGE(F145:F158)/AVERAGE(G145:G158)))</f>
        <v>0</v>
      </c>
      <c r="I158" s="24">
        <f>C158+2*_xlfn.STDEV.S(B139:B158)</f>
        <v>0</v>
      </c>
      <c r="J158" s="24">
        <f>C158-2*_xlfn.STDEV.S(B139:B158)</f>
        <v>0</v>
      </c>
    </row>
    <row r="159" spans="1:10">
      <c r="A159" s="12">
        <f>'1_Precios'!A157</f>
        <v>0</v>
      </c>
      <c r="B159" s="24">
        <f>INDEX('1_Precios'!$B$157:$F$157,MATCH($B$1,'1_Precios'!$B$1:$F$1,0))</f>
        <v>0</v>
      </c>
      <c r="C159" s="24">
        <f>AVERAGE(B140:B159)</f>
        <v>0</v>
      </c>
      <c r="D159" s="24">
        <f>AVERAGE(B110:B159)</f>
        <v>0</v>
      </c>
      <c r="E159" s="9">
        <f>IF(AND(C159&gt;D159,C158&lt;=D158),"COMPRA (cruce alcista)",IF(AND(C159&lt;D159,C158&gt;=D158),"VENTA (cruce bajista)",""))</f>
        <v>0</v>
      </c>
      <c r="F159" s="24">
        <f>MAX(B159-B158,0)</f>
        <v>0</v>
      </c>
      <c r="G159" s="24">
        <f>MAX(B158-B159,0)</f>
        <v>0</v>
      </c>
      <c r="H159" s="26">
        <f>IF(SUM(G146:G159)=0,100,100-100/(1+AVERAGE(F146:F159)/AVERAGE(G146:G159)))</f>
        <v>0</v>
      </c>
      <c r="I159" s="24">
        <f>C159+2*_xlfn.STDEV.S(B140:B159)</f>
        <v>0</v>
      </c>
      <c r="J159" s="24">
        <f>C159-2*_xlfn.STDEV.S(B140:B159)</f>
        <v>0</v>
      </c>
    </row>
    <row r="160" spans="1:10">
      <c r="A160" s="12">
        <f>'1_Precios'!A158</f>
        <v>0</v>
      </c>
      <c r="B160" s="24">
        <f>INDEX('1_Precios'!$B$158:$F$158,MATCH($B$1,'1_Precios'!$B$1:$F$1,0))</f>
        <v>0</v>
      </c>
      <c r="C160" s="24">
        <f>AVERAGE(B141:B160)</f>
        <v>0</v>
      </c>
      <c r="D160" s="24">
        <f>AVERAGE(B111:B160)</f>
        <v>0</v>
      </c>
      <c r="E160" s="9">
        <f>IF(AND(C160&gt;D160,C159&lt;=D159),"COMPRA (cruce alcista)",IF(AND(C160&lt;D160,C159&gt;=D159),"VENTA (cruce bajista)",""))</f>
        <v>0</v>
      </c>
      <c r="F160" s="24">
        <f>MAX(B160-B159,0)</f>
        <v>0</v>
      </c>
      <c r="G160" s="24">
        <f>MAX(B159-B160,0)</f>
        <v>0</v>
      </c>
      <c r="H160" s="26">
        <f>IF(SUM(G147:G160)=0,100,100-100/(1+AVERAGE(F147:F160)/AVERAGE(G147:G160)))</f>
        <v>0</v>
      </c>
      <c r="I160" s="24">
        <f>C160+2*_xlfn.STDEV.S(B141:B160)</f>
        <v>0</v>
      </c>
      <c r="J160" s="24">
        <f>C160-2*_xlfn.STDEV.S(B141:B160)</f>
        <v>0</v>
      </c>
    </row>
    <row r="161" spans="1:10">
      <c r="A161" s="12">
        <f>'1_Precios'!A159</f>
        <v>0</v>
      </c>
      <c r="B161" s="24">
        <f>INDEX('1_Precios'!$B$159:$F$159,MATCH($B$1,'1_Precios'!$B$1:$F$1,0))</f>
        <v>0</v>
      </c>
      <c r="C161" s="24">
        <f>AVERAGE(B142:B161)</f>
        <v>0</v>
      </c>
      <c r="D161" s="24">
        <f>AVERAGE(B112:B161)</f>
        <v>0</v>
      </c>
      <c r="E161" s="9">
        <f>IF(AND(C161&gt;D161,C160&lt;=D160),"COMPRA (cruce alcista)",IF(AND(C161&lt;D161,C160&gt;=D160),"VENTA (cruce bajista)",""))</f>
        <v>0</v>
      </c>
      <c r="F161" s="24">
        <f>MAX(B161-B160,0)</f>
        <v>0</v>
      </c>
      <c r="G161" s="24">
        <f>MAX(B160-B161,0)</f>
        <v>0</v>
      </c>
      <c r="H161" s="26">
        <f>IF(SUM(G148:G161)=0,100,100-100/(1+AVERAGE(F148:F161)/AVERAGE(G148:G161)))</f>
        <v>0</v>
      </c>
      <c r="I161" s="24">
        <f>C161+2*_xlfn.STDEV.S(B142:B161)</f>
        <v>0</v>
      </c>
      <c r="J161" s="24">
        <f>C161-2*_xlfn.STDEV.S(B142:B161)</f>
        <v>0</v>
      </c>
    </row>
    <row r="162" spans="1:10">
      <c r="A162" s="12">
        <f>'1_Precios'!A160</f>
        <v>0</v>
      </c>
      <c r="B162" s="24">
        <f>INDEX('1_Precios'!$B$160:$F$160,MATCH($B$1,'1_Precios'!$B$1:$F$1,0))</f>
        <v>0</v>
      </c>
      <c r="C162" s="24">
        <f>AVERAGE(B143:B162)</f>
        <v>0</v>
      </c>
      <c r="D162" s="24">
        <f>AVERAGE(B113:B162)</f>
        <v>0</v>
      </c>
      <c r="E162" s="9">
        <f>IF(AND(C162&gt;D162,C161&lt;=D161),"COMPRA (cruce alcista)",IF(AND(C162&lt;D162,C161&gt;=D161),"VENTA (cruce bajista)",""))</f>
        <v>0</v>
      </c>
      <c r="F162" s="24">
        <f>MAX(B162-B161,0)</f>
        <v>0</v>
      </c>
      <c r="G162" s="24">
        <f>MAX(B161-B162,0)</f>
        <v>0</v>
      </c>
      <c r="H162" s="26">
        <f>IF(SUM(G149:G162)=0,100,100-100/(1+AVERAGE(F149:F162)/AVERAGE(G149:G162)))</f>
        <v>0</v>
      </c>
      <c r="I162" s="24">
        <f>C162+2*_xlfn.STDEV.S(B143:B162)</f>
        <v>0</v>
      </c>
      <c r="J162" s="24">
        <f>C162-2*_xlfn.STDEV.S(B143:B162)</f>
        <v>0</v>
      </c>
    </row>
    <row r="163" spans="1:10">
      <c r="A163" s="12">
        <f>'1_Precios'!A161</f>
        <v>0</v>
      </c>
      <c r="B163" s="24">
        <f>INDEX('1_Precios'!$B$161:$F$161,MATCH($B$1,'1_Precios'!$B$1:$F$1,0))</f>
        <v>0</v>
      </c>
      <c r="C163" s="24">
        <f>AVERAGE(B144:B163)</f>
        <v>0</v>
      </c>
      <c r="D163" s="24">
        <f>AVERAGE(B114:B163)</f>
        <v>0</v>
      </c>
      <c r="E163" s="9">
        <f>IF(AND(C163&gt;D163,C162&lt;=D162),"COMPRA (cruce alcista)",IF(AND(C163&lt;D163,C162&gt;=D162),"VENTA (cruce bajista)",""))</f>
        <v>0</v>
      </c>
      <c r="F163" s="24">
        <f>MAX(B163-B162,0)</f>
        <v>0</v>
      </c>
      <c r="G163" s="24">
        <f>MAX(B162-B163,0)</f>
        <v>0</v>
      </c>
      <c r="H163" s="26">
        <f>IF(SUM(G150:G163)=0,100,100-100/(1+AVERAGE(F150:F163)/AVERAGE(G150:G163)))</f>
        <v>0</v>
      </c>
      <c r="I163" s="24">
        <f>C163+2*_xlfn.STDEV.S(B144:B163)</f>
        <v>0</v>
      </c>
      <c r="J163" s="24">
        <f>C163-2*_xlfn.STDEV.S(B144:B163)</f>
        <v>0</v>
      </c>
    </row>
    <row r="164" spans="1:10">
      <c r="A164" s="12">
        <f>'1_Precios'!A162</f>
        <v>0</v>
      </c>
      <c r="B164" s="24">
        <f>INDEX('1_Precios'!$B$162:$F$162,MATCH($B$1,'1_Precios'!$B$1:$F$1,0))</f>
        <v>0</v>
      </c>
      <c r="C164" s="24">
        <f>AVERAGE(B145:B164)</f>
        <v>0</v>
      </c>
      <c r="D164" s="24">
        <f>AVERAGE(B115:B164)</f>
        <v>0</v>
      </c>
      <c r="E164" s="9">
        <f>IF(AND(C164&gt;D164,C163&lt;=D163),"COMPRA (cruce alcista)",IF(AND(C164&lt;D164,C163&gt;=D163),"VENTA (cruce bajista)",""))</f>
        <v>0</v>
      </c>
      <c r="F164" s="24">
        <f>MAX(B164-B163,0)</f>
        <v>0</v>
      </c>
      <c r="G164" s="24">
        <f>MAX(B163-B164,0)</f>
        <v>0</v>
      </c>
      <c r="H164" s="26">
        <f>IF(SUM(G151:G164)=0,100,100-100/(1+AVERAGE(F151:F164)/AVERAGE(G151:G164)))</f>
        <v>0</v>
      </c>
      <c r="I164" s="24">
        <f>C164+2*_xlfn.STDEV.S(B145:B164)</f>
        <v>0</v>
      </c>
      <c r="J164" s="24">
        <f>C164-2*_xlfn.STDEV.S(B145:B164)</f>
        <v>0</v>
      </c>
    </row>
    <row r="165" spans="1:10">
      <c r="A165" s="12">
        <f>'1_Precios'!A163</f>
        <v>0</v>
      </c>
      <c r="B165" s="24">
        <f>INDEX('1_Precios'!$B$163:$F$163,MATCH($B$1,'1_Precios'!$B$1:$F$1,0))</f>
        <v>0</v>
      </c>
      <c r="C165" s="24">
        <f>AVERAGE(B146:B165)</f>
        <v>0</v>
      </c>
      <c r="D165" s="24">
        <f>AVERAGE(B116:B165)</f>
        <v>0</v>
      </c>
      <c r="E165" s="9">
        <f>IF(AND(C165&gt;D165,C164&lt;=D164),"COMPRA (cruce alcista)",IF(AND(C165&lt;D165,C164&gt;=D164),"VENTA (cruce bajista)",""))</f>
        <v>0</v>
      </c>
      <c r="F165" s="24">
        <f>MAX(B165-B164,0)</f>
        <v>0</v>
      </c>
      <c r="G165" s="24">
        <f>MAX(B164-B165,0)</f>
        <v>0</v>
      </c>
      <c r="H165" s="26">
        <f>IF(SUM(G152:G165)=0,100,100-100/(1+AVERAGE(F152:F165)/AVERAGE(G152:G165)))</f>
        <v>0</v>
      </c>
      <c r="I165" s="24">
        <f>C165+2*_xlfn.STDEV.S(B146:B165)</f>
        <v>0</v>
      </c>
      <c r="J165" s="24">
        <f>C165-2*_xlfn.STDEV.S(B146:B165)</f>
        <v>0</v>
      </c>
    </row>
    <row r="166" spans="1:10">
      <c r="A166" s="12">
        <f>'1_Precios'!A164</f>
        <v>0</v>
      </c>
      <c r="B166" s="24">
        <f>INDEX('1_Precios'!$B$164:$F$164,MATCH($B$1,'1_Precios'!$B$1:$F$1,0))</f>
        <v>0</v>
      </c>
      <c r="C166" s="24">
        <f>AVERAGE(B147:B166)</f>
        <v>0</v>
      </c>
      <c r="D166" s="24">
        <f>AVERAGE(B117:B166)</f>
        <v>0</v>
      </c>
      <c r="E166" s="9">
        <f>IF(AND(C166&gt;D166,C165&lt;=D165),"COMPRA (cruce alcista)",IF(AND(C166&lt;D166,C165&gt;=D165),"VENTA (cruce bajista)",""))</f>
        <v>0</v>
      </c>
      <c r="F166" s="24">
        <f>MAX(B166-B165,0)</f>
        <v>0</v>
      </c>
      <c r="G166" s="24">
        <f>MAX(B165-B166,0)</f>
        <v>0</v>
      </c>
      <c r="H166" s="26">
        <f>IF(SUM(G153:G166)=0,100,100-100/(1+AVERAGE(F153:F166)/AVERAGE(G153:G166)))</f>
        <v>0</v>
      </c>
      <c r="I166" s="24">
        <f>C166+2*_xlfn.STDEV.S(B147:B166)</f>
        <v>0</v>
      </c>
      <c r="J166" s="24">
        <f>C166-2*_xlfn.STDEV.S(B147:B166)</f>
        <v>0</v>
      </c>
    </row>
    <row r="167" spans="1:10">
      <c r="A167" s="12">
        <f>'1_Precios'!A165</f>
        <v>0</v>
      </c>
      <c r="B167" s="24">
        <f>INDEX('1_Precios'!$B$165:$F$165,MATCH($B$1,'1_Precios'!$B$1:$F$1,0))</f>
        <v>0</v>
      </c>
      <c r="C167" s="24">
        <f>AVERAGE(B148:B167)</f>
        <v>0</v>
      </c>
      <c r="D167" s="24">
        <f>AVERAGE(B118:B167)</f>
        <v>0</v>
      </c>
      <c r="E167" s="9">
        <f>IF(AND(C167&gt;D167,C166&lt;=D166),"COMPRA (cruce alcista)",IF(AND(C167&lt;D167,C166&gt;=D166),"VENTA (cruce bajista)",""))</f>
        <v>0</v>
      </c>
      <c r="F167" s="24">
        <f>MAX(B167-B166,0)</f>
        <v>0</v>
      </c>
      <c r="G167" s="24">
        <f>MAX(B166-B167,0)</f>
        <v>0</v>
      </c>
      <c r="H167" s="26">
        <f>IF(SUM(G154:G167)=0,100,100-100/(1+AVERAGE(F154:F167)/AVERAGE(G154:G167)))</f>
        <v>0</v>
      </c>
      <c r="I167" s="24">
        <f>C167+2*_xlfn.STDEV.S(B148:B167)</f>
        <v>0</v>
      </c>
      <c r="J167" s="24">
        <f>C167-2*_xlfn.STDEV.S(B148:B167)</f>
        <v>0</v>
      </c>
    </row>
    <row r="168" spans="1:10">
      <c r="A168" s="12">
        <f>'1_Precios'!A166</f>
        <v>0</v>
      </c>
      <c r="B168" s="24">
        <f>INDEX('1_Precios'!$B$166:$F$166,MATCH($B$1,'1_Precios'!$B$1:$F$1,0))</f>
        <v>0</v>
      </c>
      <c r="C168" s="24">
        <f>AVERAGE(B149:B168)</f>
        <v>0</v>
      </c>
      <c r="D168" s="24">
        <f>AVERAGE(B119:B168)</f>
        <v>0</v>
      </c>
      <c r="E168" s="9">
        <f>IF(AND(C168&gt;D168,C167&lt;=D167),"COMPRA (cruce alcista)",IF(AND(C168&lt;D168,C167&gt;=D167),"VENTA (cruce bajista)",""))</f>
        <v>0</v>
      </c>
      <c r="F168" s="24">
        <f>MAX(B168-B167,0)</f>
        <v>0</v>
      </c>
      <c r="G168" s="24">
        <f>MAX(B167-B168,0)</f>
        <v>0</v>
      </c>
      <c r="H168" s="26">
        <f>IF(SUM(G155:G168)=0,100,100-100/(1+AVERAGE(F155:F168)/AVERAGE(G155:G168)))</f>
        <v>0</v>
      </c>
      <c r="I168" s="24">
        <f>C168+2*_xlfn.STDEV.S(B149:B168)</f>
        <v>0</v>
      </c>
      <c r="J168" s="24">
        <f>C168-2*_xlfn.STDEV.S(B149:B168)</f>
        <v>0</v>
      </c>
    </row>
    <row r="169" spans="1:10">
      <c r="A169" s="12">
        <f>'1_Precios'!A167</f>
        <v>0</v>
      </c>
      <c r="B169" s="24">
        <f>INDEX('1_Precios'!$B$167:$F$167,MATCH($B$1,'1_Precios'!$B$1:$F$1,0))</f>
        <v>0</v>
      </c>
      <c r="C169" s="24">
        <f>AVERAGE(B150:B169)</f>
        <v>0</v>
      </c>
      <c r="D169" s="24">
        <f>AVERAGE(B120:B169)</f>
        <v>0</v>
      </c>
      <c r="E169" s="9">
        <f>IF(AND(C169&gt;D169,C168&lt;=D168),"COMPRA (cruce alcista)",IF(AND(C169&lt;D169,C168&gt;=D168),"VENTA (cruce bajista)",""))</f>
        <v>0</v>
      </c>
      <c r="F169" s="24">
        <f>MAX(B169-B168,0)</f>
        <v>0</v>
      </c>
      <c r="G169" s="24">
        <f>MAX(B168-B169,0)</f>
        <v>0</v>
      </c>
      <c r="H169" s="26">
        <f>IF(SUM(G156:G169)=0,100,100-100/(1+AVERAGE(F156:F169)/AVERAGE(G156:G169)))</f>
        <v>0</v>
      </c>
      <c r="I169" s="24">
        <f>C169+2*_xlfn.STDEV.S(B150:B169)</f>
        <v>0</v>
      </c>
      <c r="J169" s="24">
        <f>C169-2*_xlfn.STDEV.S(B150:B169)</f>
        <v>0</v>
      </c>
    </row>
    <row r="170" spans="1:10">
      <c r="A170" s="12">
        <f>'1_Precios'!A168</f>
        <v>0</v>
      </c>
      <c r="B170" s="24">
        <f>INDEX('1_Precios'!$B$168:$F$168,MATCH($B$1,'1_Precios'!$B$1:$F$1,0))</f>
        <v>0</v>
      </c>
      <c r="C170" s="24">
        <f>AVERAGE(B151:B170)</f>
        <v>0</v>
      </c>
      <c r="D170" s="24">
        <f>AVERAGE(B121:B170)</f>
        <v>0</v>
      </c>
      <c r="E170" s="9">
        <f>IF(AND(C170&gt;D170,C169&lt;=D169),"COMPRA (cruce alcista)",IF(AND(C170&lt;D170,C169&gt;=D169),"VENTA (cruce bajista)",""))</f>
        <v>0</v>
      </c>
      <c r="F170" s="24">
        <f>MAX(B170-B169,0)</f>
        <v>0</v>
      </c>
      <c r="G170" s="24">
        <f>MAX(B169-B170,0)</f>
        <v>0</v>
      </c>
      <c r="H170" s="26">
        <f>IF(SUM(G157:G170)=0,100,100-100/(1+AVERAGE(F157:F170)/AVERAGE(G157:G170)))</f>
        <v>0</v>
      </c>
      <c r="I170" s="24">
        <f>C170+2*_xlfn.STDEV.S(B151:B170)</f>
        <v>0</v>
      </c>
      <c r="J170" s="24">
        <f>C170-2*_xlfn.STDEV.S(B151:B170)</f>
        <v>0</v>
      </c>
    </row>
    <row r="171" spans="1:10">
      <c r="A171" s="12">
        <f>'1_Precios'!A169</f>
        <v>0</v>
      </c>
      <c r="B171" s="24">
        <f>INDEX('1_Precios'!$B$169:$F$169,MATCH($B$1,'1_Precios'!$B$1:$F$1,0))</f>
        <v>0</v>
      </c>
      <c r="C171" s="24">
        <f>AVERAGE(B152:B171)</f>
        <v>0</v>
      </c>
      <c r="D171" s="24">
        <f>AVERAGE(B122:B171)</f>
        <v>0</v>
      </c>
      <c r="E171" s="9">
        <f>IF(AND(C171&gt;D171,C170&lt;=D170),"COMPRA (cruce alcista)",IF(AND(C171&lt;D171,C170&gt;=D170),"VENTA (cruce bajista)",""))</f>
        <v>0</v>
      </c>
      <c r="F171" s="24">
        <f>MAX(B171-B170,0)</f>
        <v>0</v>
      </c>
      <c r="G171" s="24">
        <f>MAX(B170-B171,0)</f>
        <v>0</v>
      </c>
      <c r="H171" s="26">
        <f>IF(SUM(G158:G171)=0,100,100-100/(1+AVERAGE(F158:F171)/AVERAGE(G158:G171)))</f>
        <v>0</v>
      </c>
      <c r="I171" s="24">
        <f>C171+2*_xlfn.STDEV.S(B152:B171)</f>
        <v>0</v>
      </c>
      <c r="J171" s="24">
        <f>C171-2*_xlfn.STDEV.S(B152:B171)</f>
        <v>0</v>
      </c>
    </row>
    <row r="172" spans="1:10">
      <c r="A172" s="12">
        <f>'1_Precios'!A170</f>
        <v>0</v>
      </c>
      <c r="B172" s="24">
        <f>INDEX('1_Precios'!$B$170:$F$170,MATCH($B$1,'1_Precios'!$B$1:$F$1,0))</f>
        <v>0</v>
      </c>
      <c r="C172" s="24">
        <f>AVERAGE(B153:B172)</f>
        <v>0</v>
      </c>
      <c r="D172" s="24">
        <f>AVERAGE(B123:B172)</f>
        <v>0</v>
      </c>
      <c r="E172" s="9">
        <f>IF(AND(C172&gt;D172,C171&lt;=D171),"COMPRA (cruce alcista)",IF(AND(C172&lt;D172,C171&gt;=D171),"VENTA (cruce bajista)",""))</f>
        <v>0</v>
      </c>
      <c r="F172" s="24">
        <f>MAX(B172-B171,0)</f>
        <v>0</v>
      </c>
      <c r="G172" s="24">
        <f>MAX(B171-B172,0)</f>
        <v>0</v>
      </c>
      <c r="H172" s="26">
        <f>IF(SUM(G159:G172)=0,100,100-100/(1+AVERAGE(F159:F172)/AVERAGE(G159:G172)))</f>
        <v>0</v>
      </c>
      <c r="I172" s="24">
        <f>C172+2*_xlfn.STDEV.S(B153:B172)</f>
        <v>0</v>
      </c>
      <c r="J172" s="24">
        <f>C172-2*_xlfn.STDEV.S(B153:B172)</f>
        <v>0</v>
      </c>
    </row>
    <row r="173" spans="1:10">
      <c r="A173" s="12">
        <f>'1_Precios'!A171</f>
        <v>0</v>
      </c>
      <c r="B173" s="24">
        <f>INDEX('1_Precios'!$B$171:$F$171,MATCH($B$1,'1_Precios'!$B$1:$F$1,0))</f>
        <v>0</v>
      </c>
      <c r="C173" s="24">
        <f>AVERAGE(B154:B173)</f>
        <v>0</v>
      </c>
      <c r="D173" s="24">
        <f>AVERAGE(B124:B173)</f>
        <v>0</v>
      </c>
      <c r="E173" s="9">
        <f>IF(AND(C173&gt;D173,C172&lt;=D172),"COMPRA (cruce alcista)",IF(AND(C173&lt;D173,C172&gt;=D172),"VENTA (cruce bajista)",""))</f>
        <v>0</v>
      </c>
      <c r="F173" s="24">
        <f>MAX(B173-B172,0)</f>
        <v>0</v>
      </c>
      <c r="G173" s="24">
        <f>MAX(B172-B173,0)</f>
        <v>0</v>
      </c>
      <c r="H173" s="26">
        <f>IF(SUM(G160:G173)=0,100,100-100/(1+AVERAGE(F160:F173)/AVERAGE(G160:G173)))</f>
        <v>0</v>
      </c>
      <c r="I173" s="24">
        <f>C173+2*_xlfn.STDEV.S(B154:B173)</f>
        <v>0</v>
      </c>
      <c r="J173" s="24">
        <f>C173-2*_xlfn.STDEV.S(B154:B173)</f>
        <v>0</v>
      </c>
    </row>
    <row r="174" spans="1:10">
      <c r="A174" s="12">
        <f>'1_Precios'!A172</f>
        <v>0</v>
      </c>
      <c r="B174" s="24">
        <f>INDEX('1_Precios'!$B$172:$F$172,MATCH($B$1,'1_Precios'!$B$1:$F$1,0))</f>
        <v>0</v>
      </c>
      <c r="C174" s="24">
        <f>AVERAGE(B155:B174)</f>
        <v>0</v>
      </c>
      <c r="D174" s="24">
        <f>AVERAGE(B125:B174)</f>
        <v>0</v>
      </c>
      <c r="E174" s="9">
        <f>IF(AND(C174&gt;D174,C173&lt;=D173),"COMPRA (cruce alcista)",IF(AND(C174&lt;D174,C173&gt;=D173),"VENTA (cruce bajista)",""))</f>
        <v>0</v>
      </c>
      <c r="F174" s="24">
        <f>MAX(B174-B173,0)</f>
        <v>0</v>
      </c>
      <c r="G174" s="24">
        <f>MAX(B173-B174,0)</f>
        <v>0</v>
      </c>
      <c r="H174" s="26">
        <f>IF(SUM(G161:G174)=0,100,100-100/(1+AVERAGE(F161:F174)/AVERAGE(G161:G174)))</f>
        <v>0</v>
      </c>
      <c r="I174" s="24">
        <f>C174+2*_xlfn.STDEV.S(B155:B174)</f>
        <v>0</v>
      </c>
      <c r="J174" s="24">
        <f>C174-2*_xlfn.STDEV.S(B155:B174)</f>
        <v>0</v>
      </c>
    </row>
    <row r="175" spans="1:10">
      <c r="A175" s="12">
        <f>'1_Precios'!A173</f>
        <v>0</v>
      </c>
      <c r="B175" s="24">
        <f>INDEX('1_Precios'!$B$173:$F$173,MATCH($B$1,'1_Precios'!$B$1:$F$1,0))</f>
        <v>0</v>
      </c>
      <c r="C175" s="24">
        <f>AVERAGE(B156:B175)</f>
        <v>0</v>
      </c>
      <c r="D175" s="24">
        <f>AVERAGE(B126:B175)</f>
        <v>0</v>
      </c>
      <c r="E175" s="9">
        <f>IF(AND(C175&gt;D175,C174&lt;=D174),"COMPRA (cruce alcista)",IF(AND(C175&lt;D175,C174&gt;=D174),"VENTA (cruce bajista)",""))</f>
        <v>0</v>
      </c>
      <c r="F175" s="24">
        <f>MAX(B175-B174,0)</f>
        <v>0</v>
      </c>
      <c r="G175" s="24">
        <f>MAX(B174-B175,0)</f>
        <v>0</v>
      </c>
      <c r="H175" s="26">
        <f>IF(SUM(G162:G175)=0,100,100-100/(1+AVERAGE(F162:F175)/AVERAGE(G162:G175)))</f>
        <v>0</v>
      </c>
      <c r="I175" s="24">
        <f>C175+2*_xlfn.STDEV.S(B156:B175)</f>
        <v>0</v>
      </c>
      <c r="J175" s="24">
        <f>C175-2*_xlfn.STDEV.S(B156:B175)</f>
        <v>0</v>
      </c>
    </row>
    <row r="176" spans="1:10">
      <c r="A176" s="12">
        <f>'1_Precios'!A174</f>
        <v>0</v>
      </c>
      <c r="B176" s="24">
        <f>INDEX('1_Precios'!$B$174:$F$174,MATCH($B$1,'1_Precios'!$B$1:$F$1,0))</f>
        <v>0</v>
      </c>
      <c r="C176" s="24">
        <f>AVERAGE(B157:B176)</f>
        <v>0</v>
      </c>
      <c r="D176" s="24">
        <f>AVERAGE(B127:B176)</f>
        <v>0</v>
      </c>
      <c r="E176" s="9">
        <f>IF(AND(C176&gt;D176,C175&lt;=D175),"COMPRA (cruce alcista)",IF(AND(C176&lt;D176,C175&gt;=D175),"VENTA (cruce bajista)",""))</f>
        <v>0</v>
      </c>
      <c r="F176" s="24">
        <f>MAX(B176-B175,0)</f>
        <v>0</v>
      </c>
      <c r="G176" s="24">
        <f>MAX(B175-B176,0)</f>
        <v>0</v>
      </c>
      <c r="H176" s="26">
        <f>IF(SUM(G163:G176)=0,100,100-100/(1+AVERAGE(F163:F176)/AVERAGE(G163:G176)))</f>
        <v>0</v>
      </c>
      <c r="I176" s="24">
        <f>C176+2*_xlfn.STDEV.S(B157:B176)</f>
        <v>0</v>
      </c>
      <c r="J176" s="24">
        <f>C176-2*_xlfn.STDEV.S(B157:B176)</f>
        <v>0</v>
      </c>
    </row>
    <row r="177" spans="1:10">
      <c r="A177" s="12">
        <f>'1_Precios'!A175</f>
        <v>0</v>
      </c>
      <c r="B177" s="24">
        <f>INDEX('1_Precios'!$B$175:$F$175,MATCH($B$1,'1_Precios'!$B$1:$F$1,0))</f>
        <v>0</v>
      </c>
      <c r="C177" s="24">
        <f>AVERAGE(B158:B177)</f>
        <v>0</v>
      </c>
      <c r="D177" s="24">
        <f>AVERAGE(B128:B177)</f>
        <v>0</v>
      </c>
      <c r="E177" s="9">
        <f>IF(AND(C177&gt;D177,C176&lt;=D176),"COMPRA (cruce alcista)",IF(AND(C177&lt;D177,C176&gt;=D176),"VENTA (cruce bajista)",""))</f>
        <v>0</v>
      </c>
      <c r="F177" s="24">
        <f>MAX(B177-B176,0)</f>
        <v>0</v>
      </c>
      <c r="G177" s="24">
        <f>MAX(B176-B177,0)</f>
        <v>0</v>
      </c>
      <c r="H177" s="26">
        <f>IF(SUM(G164:G177)=0,100,100-100/(1+AVERAGE(F164:F177)/AVERAGE(G164:G177)))</f>
        <v>0</v>
      </c>
      <c r="I177" s="24">
        <f>C177+2*_xlfn.STDEV.S(B158:B177)</f>
        <v>0</v>
      </c>
      <c r="J177" s="24">
        <f>C177-2*_xlfn.STDEV.S(B158:B177)</f>
        <v>0</v>
      </c>
    </row>
    <row r="178" spans="1:10">
      <c r="A178" s="12">
        <f>'1_Precios'!A176</f>
        <v>0</v>
      </c>
      <c r="B178" s="24">
        <f>INDEX('1_Precios'!$B$176:$F$176,MATCH($B$1,'1_Precios'!$B$1:$F$1,0))</f>
        <v>0</v>
      </c>
      <c r="C178" s="24">
        <f>AVERAGE(B159:B178)</f>
        <v>0</v>
      </c>
      <c r="D178" s="24">
        <f>AVERAGE(B129:B178)</f>
        <v>0</v>
      </c>
      <c r="E178" s="9">
        <f>IF(AND(C178&gt;D178,C177&lt;=D177),"COMPRA (cruce alcista)",IF(AND(C178&lt;D178,C177&gt;=D177),"VENTA (cruce bajista)",""))</f>
        <v>0</v>
      </c>
      <c r="F178" s="24">
        <f>MAX(B178-B177,0)</f>
        <v>0</v>
      </c>
      <c r="G178" s="24">
        <f>MAX(B177-B178,0)</f>
        <v>0</v>
      </c>
      <c r="H178" s="26">
        <f>IF(SUM(G165:G178)=0,100,100-100/(1+AVERAGE(F165:F178)/AVERAGE(G165:G178)))</f>
        <v>0</v>
      </c>
      <c r="I178" s="24">
        <f>C178+2*_xlfn.STDEV.S(B159:B178)</f>
        <v>0</v>
      </c>
      <c r="J178" s="24">
        <f>C178-2*_xlfn.STDEV.S(B159:B178)</f>
        <v>0</v>
      </c>
    </row>
    <row r="179" spans="1:10">
      <c r="A179" s="12">
        <f>'1_Precios'!A177</f>
        <v>0</v>
      </c>
      <c r="B179" s="24">
        <f>INDEX('1_Precios'!$B$177:$F$177,MATCH($B$1,'1_Precios'!$B$1:$F$1,0))</f>
        <v>0</v>
      </c>
      <c r="C179" s="24">
        <f>AVERAGE(B160:B179)</f>
        <v>0</v>
      </c>
      <c r="D179" s="24">
        <f>AVERAGE(B130:B179)</f>
        <v>0</v>
      </c>
      <c r="E179" s="9">
        <f>IF(AND(C179&gt;D179,C178&lt;=D178),"COMPRA (cruce alcista)",IF(AND(C179&lt;D179,C178&gt;=D178),"VENTA (cruce bajista)",""))</f>
        <v>0</v>
      </c>
      <c r="F179" s="24">
        <f>MAX(B179-B178,0)</f>
        <v>0</v>
      </c>
      <c r="G179" s="24">
        <f>MAX(B178-B179,0)</f>
        <v>0</v>
      </c>
      <c r="H179" s="26">
        <f>IF(SUM(G166:G179)=0,100,100-100/(1+AVERAGE(F166:F179)/AVERAGE(G166:G179)))</f>
        <v>0</v>
      </c>
      <c r="I179" s="24">
        <f>C179+2*_xlfn.STDEV.S(B160:B179)</f>
        <v>0</v>
      </c>
      <c r="J179" s="24">
        <f>C179-2*_xlfn.STDEV.S(B160:B179)</f>
        <v>0</v>
      </c>
    </row>
    <row r="180" spans="1:10">
      <c r="A180" s="12">
        <f>'1_Precios'!A178</f>
        <v>0</v>
      </c>
      <c r="B180" s="24">
        <f>INDEX('1_Precios'!$B$178:$F$178,MATCH($B$1,'1_Precios'!$B$1:$F$1,0))</f>
        <v>0</v>
      </c>
      <c r="C180" s="24">
        <f>AVERAGE(B161:B180)</f>
        <v>0</v>
      </c>
      <c r="D180" s="24">
        <f>AVERAGE(B131:B180)</f>
        <v>0</v>
      </c>
      <c r="E180" s="9">
        <f>IF(AND(C180&gt;D180,C179&lt;=D179),"COMPRA (cruce alcista)",IF(AND(C180&lt;D180,C179&gt;=D179),"VENTA (cruce bajista)",""))</f>
        <v>0</v>
      </c>
      <c r="F180" s="24">
        <f>MAX(B180-B179,0)</f>
        <v>0</v>
      </c>
      <c r="G180" s="24">
        <f>MAX(B179-B180,0)</f>
        <v>0</v>
      </c>
      <c r="H180" s="26">
        <f>IF(SUM(G167:G180)=0,100,100-100/(1+AVERAGE(F167:F180)/AVERAGE(G167:G180)))</f>
        <v>0</v>
      </c>
      <c r="I180" s="24">
        <f>C180+2*_xlfn.STDEV.S(B161:B180)</f>
        <v>0</v>
      </c>
      <c r="J180" s="24">
        <f>C180-2*_xlfn.STDEV.S(B161:B180)</f>
        <v>0</v>
      </c>
    </row>
    <row r="181" spans="1:10">
      <c r="A181" s="12">
        <f>'1_Precios'!A179</f>
        <v>0</v>
      </c>
      <c r="B181" s="24">
        <f>INDEX('1_Precios'!$B$179:$F$179,MATCH($B$1,'1_Precios'!$B$1:$F$1,0))</f>
        <v>0</v>
      </c>
      <c r="C181" s="24">
        <f>AVERAGE(B162:B181)</f>
        <v>0</v>
      </c>
      <c r="D181" s="24">
        <f>AVERAGE(B132:B181)</f>
        <v>0</v>
      </c>
      <c r="E181" s="9">
        <f>IF(AND(C181&gt;D181,C180&lt;=D180),"COMPRA (cruce alcista)",IF(AND(C181&lt;D181,C180&gt;=D180),"VENTA (cruce bajista)",""))</f>
        <v>0</v>
      </c>
      <c r="F181" s="24">
        <f>MAX(B181-B180,0)</f>
        <v>0</v>
      </c>
      <c r="G181" s="24">
        <f>MAX(B180-B181,0)</f>
        <v>0</v>
      </c>
      <c r="H181" s="26">
        <f>IF(SUM(G168:G181)=0,100,100-100/(1+AVERAGE(F168:F181)/AVERAGE(G168:G181)))</f>
        <v>0</v>
      </c>
      <c r="I181" s="24">
        <f>C181+2*_xlfn.STDEV.S(B162:B181)</f>
        <v>0</v>
      </c>
      <c r="J181" s="24">
        <f>C181-2*_xlfn.STDEV.S(B162:B181)</f>
        <v>0</v>
      </c>
    </row>
    <row r="182" spans="1:10">
      <c r="A182" s="12">
        <f>'1_Precios'!A180</f>
        <v>0</v>
      </c>
      <c r="B182" s="24">
        <f>INDEX('1_Precios'!$B$180:$F$180,MATCH($B$1,'1_Precios'!$B$1:$F$1,0))</f>
        <v>0</v>
      </c>
      <c r="C182" s="24">
        <f>AVERAGE(B163:B182)</f>
        <v>0</v>
      </c>
      <c r="D182" s="24">
        <f>AVERAGE(B133:B182)</f>
        <v>0</v>
      </c>
      <c r="E182" s="9">
        <f>IF(AND(C182&gt;D182,C181&lt;=D181),"COMPRA (cruce alcista)",IF(AND(C182&lt;D182,C181&gt;=D181),"VENTA (cruce bajista)",""))</f>
        <v>0</v>
      </c>
      <c r="F182" s="24">
        <f>MAX(B182-B181,0)</f>
        <v>0</v>
      </c>
      <c r="G182" s="24">
        <f>MAX(B181-B182,0)</f>
        <v>0</v>
      </c>
      <c r="H182" s="26">
        <f>IF(SUM(G169:G182)=0,100,100-100/(1+AVERAGE(F169:F182)/AVERAGE(G169:G182)))</f>
        <v>0</v>
      </c>
      <c r="I182" s="24">
        <f>C182+2*_xlfn.STDEV.S(B163:B182)</f>
        <v>0</v>
      </c>
      <c r="J182" s="24">
        <f>C182-2*_xlfn.STDEV.S(B163:B182)</f>
        <v>0</v>
      </c>
    </row>
    <row r="183" spans="1:10">
      <c r="A183" s="12">
        <f>'1_Precios'!A181</f>
        <v>0</v>
      </c>
      <c r="B183" s="24">
        <f>INDEX('1_Precios'!$B$181:$F$181,MATCH($B$1,'1_Precios'!$B$1:$F$1,0))</f>
        <v>0</v>
      </c>
      <c r="C183" s="24">
        <f>AVERAGE(B164:B183)</f>
        <v>0</v>
      </c>
      <c r="D183" s="24">
        <f>AVERAGE(B134:B183)</f>
        <v>0</v>
      </c>
      <c r="E183" s="9">
        <f>IF(AND(C183&gt;D183,C182&lt;=D182),"COMPRA (cruce alcista)",IF(AND(C183&lt;D183,C182&gt;=D182),"VENTA (cruce bajista)",""))</f>
        <v>0</v>
      </c>
      <c r="F183" s="24">
        <f>MAX(B183-B182,0)</f>
        <v>0</v>
      </c>
      <c r="G183" s="24">
        <f>MAX(B182-B183,0)</f>
        <v>0</v>
      </c>
      <c r="H183" s="26">
        <f>IF(SUM(G170:G183)=0,100,100-100/(1+AVERAGE(F170:F183)/AVERAGE(G170:G183)))</f>
        <v>0</v>
      </c>
      <c r="I183" s="24">
        <f>C183+2*_xlfn.STDEV.S(B164:B183)</f>
        <v>0</v>
      </c>
      <c r="J183" s="24">
        <f>C183-2*_xlfn.STDEV.S(B164:B183)</f>
        <v>0</v>
      </c>
    </row>
    <row r="184" spans="1:10">
      <c r="A184" s="12">
        <f>'1_Precios'!A182</f>
        <v>0</v>
      </c>
      <c r="B184" s="24">
        <f>INDEX('1_Precios'!$B$182:$F$182,MATCH($B$1,'1_Precios'!$B$1:$F$1,0))</f>
        <v>0</v>
      </c>
      <c r="C184" s="24">
        <f>AVERAGE(B165:B184)</f>
        <v>0</v>
      </c>
      <c r="D184" s="24">
        <f>AVERAGE(B135:B184)</f>
        <v>0</v>
      </c>
      <c r="E184" s="9">
        <f>IF(AND(C184&gt;D184,C183&lt;=D183),"COMPRA (cruce alcista)",IF(AND(C184&lt;D184,C183&gt;=D183),"VENTA (cruce bajista)",""))</f>
        <v>0</v>
      </c>
      <c r="F184" s="24">
        <f>MAX(B184-B183,0)</f>
        <v>0</v>
      </c>
      <c r="G184" s="24">
        <f>MAX(B183-B184,0)</f>
        <v>0</v>
      </c>
      <c r="H184" s="26">
        <f>IF(SUM(G171:G184)=0,100,100-100/(1+AVERAGE(F171:F184)/AVERAGE(G171:G184)))</f>
        <v>0</v>
      </c>
      <c r="I184" s="24">
        <f>C184+2*_xlfn.STDEV.S(B165:B184)</f>
        <v>0</v>
      </c>
      <c r="J184" s="24">
        <f>C184-2*_xlfn.STDEV.S(B165:B184)</f>
        <v>0</v>
      </c>
    </row>
    <row r="185" spans="1:10">
      <c r="A185" s="12">
        <f>'1_Precios'!A183</f>
        <v>0</v>
      </c>
      <c r="B185" s="24">
        <f>INDEX('1_Precios'!$B$183:$F$183,MATCH($B$1,'1_Precios'!$B$1:$F$1,0))</f>
        <v>0</v>
      </c>
      <c r="C185" s="24">
        <f>AVERAGE(B166:B185)</f>
        <v>0</v>
      </c>
      <c r="D185" s="24">
        <f>AVERAGE(B136:B185)</f>
        <v>0</v>
      </c>
      <c r="E185" s="9">
        <f>IF(AND(C185&gt;D185,C184&lt;=D184),"COMPRA (cruce alcista)",IF(AND(C185&lt;D185,C184&gt;=D184),"VENTA (cruce bajista)",""))</f>
        <v>0</v>
      </c>
      <c r="F185" s="24">
        <f>MAX(B185-B184,0)</f>
        <v>0</v>
      </c>
      <c r="G185" s="24">
        <f>MAX(B184-B185,0)</f>
        <v>0</v>
      </c>
      <c r="H185" s="26">
        <f>IF(SUM(G172:G185)=0,100,100-100/(1+AVERAGE(F172:F185)/AVERAGE(G172:G185)))</f>
        <v>0</v>
      </c>
      <c r="I185" s="24">
        <f>C185+2*_xlfn.STDEV.S(B166:B185)</f>
        <v>0</v>
      </c>
      <c r="J185" s="24">
        <f>C185-2*_xlfn.STDEV.S(B166:B185)</f>
        <v>0</v>
      </c>
    </row>
    <row r="186" spans="1:10">
      <c r="A186" s="12">
        <f>'1_Precios'!A184</f>
        <v>0</v>
      </c>
      <c r="B186" s="24">
        <f>INDEX('1_Precios'!$B$184:$F$184,MATCH($B$1,'1_Precios'!$B$1:$F$1,0))</f>
        <v>0</v>
      </c>
      <c r="C186" s="24">
        <f>AVERAGE(B167:B186)</f>
        <v>0</v>
      </c>
      <c r="D186" s="24">
        <f>AVERAGE(B137:B186)</f>
        <v>0</v>
      </c>
      <c r="E186" s="9">
        <f>IF(AND(C186&gt;D186,C185&lt;=D185),"COMPRA (cruce alcista)",IF(AND(C186&lt;D186,C185&gt;=D185),"VENTA (cruce bajista)",""))</f>
        <v>0</v>
      </c>
      <c r="F186" s="24">
        <f>MAX(B186-B185,0)</f>
        <v>0</v>
      </c>
      <c r="G186" s="24">
        <f>MAX(B185-B186,0)</f>
        <v>0</v>
      </c>
      <c r="H186" s="26">
        <f>IF(SUM(G173:G186)=0,100,100-100/(1+AVERAGE(F173:F186)/AVERAGE(G173:G186)))</f>
        <v>0</v>
      </c>
      <c r="I186" s="24">
        <f>C186+2*_xlfn.STDEV.S(B167:B186)</f>
        <v>0</v>
      </c>
      <c r="J186" s="24">
        <f>C186-2*_xlfn.STDEV.S(B167:B186)</f>
        <v>0</v>
      </c>
    </row>
    <row r="187" spans="1:10">
      <c r="A187" s="12">
        <f>'1_Precios'!A185</f>
        <v>0</v>
      </c>
      <c r="B187" s="24">
        <f>INDEX('1_Precios'!$B$185:$F$185,MATCH($B$1,'1_Precios'!$B$1:$F$1,0))</f>
        <v>0</v>
      </c>
      <c r="C187" s="24">
        <f>AVERAGE(B168:B187)</f>
        <v>0</v>
      </c>
      <c r="D187" s="24">
        <f>AVERAGE(B138:B187)</f>
        <v>0</v>
      </c>
      <c r="E187" s="9">
        <f>IF(AND(C187&gt;D187,C186&lt;=D186),"COMPRA (cruce alcista)",IF(AND(C187&lt;D187,C186&gt;=D186),"VENTA (cruce bajista)",""))</f>
        <v>0</v>
      </c>
      <c r="F187" s="24">
        <f>MAX(B187-B186,0)</f>
        <v>0</v>
      </c>
      <c r="G187" s="24">
        <f>MAX(B186-B187,0)</f>
        <v>0</v>
      </c>
      <c r="H187" s="26">
        <f>IF(SUM(G174:G187)=0,100,100-100/(1+AVERAGE(F174:F187)/AVERAGE(G174:G187)))</f>
        <v>0</v>
      </c>
      <c r="I187" s="24">
        <f>C187+2*_xlfn.STDEV.S(B168:B187)</f>
        <v>0</v>
      </c>
      <c r="J187" s="24">
        <f>C187-2*_xlfn.STDEV.S(B168:B187)</f>
        <v>0</v>
      </c>
    </row>
    <row r="188" spans="1:10">
      <c r="A188" s="12">
        <f>'1_Precios'!A186</f>
        <v>0</v>
      </c>
      <c r="B188" s="24">
        <f>INDEX('1_Precios'!$B$186:$F$186,MATCH($B$1,'1_Precios'!$B$1:$F$1,0))</f>
        <v>0</v>
      </c>
      <c r="C188" s="24">
        <f>AVERAGE(B169:B188)</f>
        <v>0</v>
      </c>
      <c r="D188" s="24">
        <f>AVERAGE(B139:B188)</f>
        <v>0</v>
      </c>
      <c r="E188" s="9">
        <f>IF(AND(C188&gt;D188,C187&lt;=D187),"COMPRA (cruce alcista)",IF(AND(C188&lt;D188,C187&gt;=D187),"VENTA (cruce bajista)",""))</f>
        <v>0</v>
      </c>
      <c r="F188" s="24">
        <f>MAX(B188-B187,0)</f>
        <v>0</v>
      </c>
      <c r="G188" s="24">
        <f>MAX(B187-B188,0)</f>
        <v>0</v>
      </c>
      <c r="H188" s="26">
        <f>IF(SUM(G175:G188)=0,100,100-100/(1+AVERAGE(F175:F188)/AVERAGE(G175:G188)))</f>
        <v>0</v>
      </c>
      <c r="I188" s="24">
        <f>C188+2*_xlfn.STDEV.S(B169:B188)</f>
        <v>0</v>
      </c>
      <c r="J188" s="24">
        <f>C188-2*_xlfn.STDEV.S(B169:B188)</f>
        <v>0</v>
      </c>
    </row>
    <row r="189" spans="1:10">
      <c r="A189" s="12">
        <f>'1_Precios'!A187</f>
        <v>0</v>
      </c>
      <c r="B189" s="24">
        <f>INDEX('1_Precios'!$B$187:$F$187,MATCH($B$1,'1_Precios'!$B$1:$F$1,0))</f>
        <v>0</v>
      </c>
      <c r="C189" s="24">
        <f>AVERAGE(B170:B189)</f>
        <v>0</v>
      </c>
      <c r="D189" s="24">
        <f>AVERAGE(B140:B189)</f>
        <v>0</v>
      </c>
      <c r="E189" s="9">
        <f>IF(AND(C189&gt;D189,C188&lt;=D188),"COMPRA (cruce alcista)",IF(AND(C189&lt;D189,C188&gt;=D188),"VENTA (cruce bajista)",""))</f>
        <v>0</v>
      </c>
      <c r="F189" s="24">
        <f>MAX(B189-B188,0)</f>
        <v>0</v>
      </c>
      <c r="G189" s="24">
        <f>MAX(B188-B189,0)</f>
        <v>0</v>
      </c>
      <c r="H189" s="26">
        <f>IF(SUM(G176:G189)=0,100,100-100/(1+AVERAGE(F176:F189)/AVERAGE(G176:G189)))</f>
        <v>0</v>
      </c>
      <c r="I189" s="24">
        <f>C189+2*_xlfn.STDEV.S(B170:B189)</f>
        <v>0</v>
      </c>
      <c r="J189" s="24">
        <f>C189-2*_xlfn.STDEV.S(B170:B189)</f>
        <v>0</v>
      </c>
    </row>
    <row r="190" spans="1:10">
      <c r="A190" s="12">
        <f>'1_Precios'!A188</f>
        <v>0</v>
      </c>
      <c r="B190" s="24">
        <f>INDEX('1_Precios'!$B$188:$F$188,MATCH($B$1,'1_Precios'!$B$1:$F$1,0))</f>
        <v>0</v>
      </c>
      <c r="C190" s="24">
        <f>AVERAGE(B171:B190)</f>
        <v>0</v>
      </c>
      <c r="D190" s="24">
        <f>AVERAGE(B141:B190)</f>
        <v>0</v>
      </c>
      <c r="E190" s="9">
        <f>IF(AND(C190&gt;D190,C189&lt;=D189),"COMPRA (cruce alcista)",IF(AND(C190&lt;D190,C189&gt;=D189),"VENTA (cruce bajista)",""))</f>
        <v>0</v>
      </c>
      <c r="F190" s="24">
        <f>MAX(B190-B189,0)</f>
        <v>0</v>
      </c>
      <c r="G190" s="24">
        <f>MAX(B189-B190,0)</f>
        <v>0</v>
      </c>
      <c r="H190" s="26">
        <f>IF(SUM(G177:G190)=0,100,100-100/(1+AVERAGE(F177:F190)/AVERAGE(G177:G190)))</f>
        <v>0</v>
      </c>
      <c r="I190" s="24">
        <f>C190+2*_xlfn.STDEV.S(B171:B190)</f>
        <v>0</v>
      </c>
      <c r="J190" s="24">
        <f>C190-2*_xlfn.STDEV.S(B171:B190)</f>
        <v>0</v>
      </c>
    </row>
    <row r="191" spans="1:10">
      <c r="A191" s="12">
        <f>'1_Precios'!A189</f>
        <v>0</v>
      </c>
      <c r="B191" s="24">
        <f>INDEX('1_Precios'!$B$189:$F$189,MATCH($B$1,'1_Precios'!$B$1:$F$1,0))</f>
        <v>0</v>
      </c>
      <c r="C191" s="24">
        <f>AVERAGE(B172:B191)</f>
        <v>0</v>
      </c>
      <c r="D191" s="24">
        <f>AVERAGE(B142:B191)</f>
        <v>0</v>
      </c>
      <c r="E191" s="9">
        <f>IF(AND(C191&gt;D191,C190&lt;=D190),"COMPRA (cruce alcista)",IF(AND(C191&lt;D191,C190&gt;=D190),"VENTA (cruce bajista)",""))</f>
        <v>0</v>
      </c>
      <c r="F191" s="24">
        <f>MAX(B191-B190,0)</f>
        <v>0</v>
      </c>
      <c r="G191" s="24">
        <f>MAX(B190-B191,0)</f>
        <v>0</v>
      </c>
      <c r="H191" s="26">
        <f>IF(SUM(G178:G191)=0,100,100-100/(1+AVERAGE(F178:F191)/AVERAGE(G178:G191)))</f>
        <v>0</v>
      </c>
      <c r="I191" s="24">
        <f>C191+2*_xlfn.STDEV.S(B172:B191)</f>
        <v>0</v>
      </c>
      <c r="J191" s="24">
        <f>C191-2*_xlfn.STDEV.S(B172:B191)</f>
        <v>0</v>
      </c>
    </row>
    <row r="192" spans="1:10">
      <c r="A192" s="12">
        <f>'1_Precios'!A190</f>
        <v>0</v>
      </c>
      <c r="B192" s="24">
        <f>INDEX('1_Precios'!$B$190:$F$190,MATCH($B$1,'1_Precios'!$B$1:$F$1,0))</f>
        <v>0</v>
      </c>
      <c r="C192" s="24">
        <f>AVERAGE(B173:B192)</f>
        <v>0</v>
      </c>
      <c r="D192" s="24">
        <f>AVERAGE(B143:B192)</f>
        <v>0</v>
      </c>
      <c r="E192" s="9">
        <f>IF(AND(C192&gt;D192,C191&lt;=D191),"COMPRA (cruce alcista)",IF(AND(C192&lt;D192,C191&gt;=D191),"VENTA (cruce bajista)",""))</f>
        <v>0</v>
      </c>
      <c r="F192" s="24">
        <f>MAX(B192-B191,0)</f>
        <v>0</v>
      </c>
      <c r="G192" s="24">
        <f>MAX(B191-B192,0)</f>
        <v>0</v>
      </c>
      <c r="H192" s="26">
        <f>IF(SUM(G179:G192)=0,100,100-100/(1+AVERAGE(F179:F192)/AVERAGE(G179:G192)))</f>
        <v>0</v>
      </c>
      <c r="I192" s="24">
        <f>C192+2*_xlfn.STDEV.S(B173:B192)</f>
        <v>0</v>
      </c>
      <c r="J192" s="24">
        <f>C192-2*_xlfn.STDEV.S(B173:B192)</f>
        <v>0</v>
      </c>
    </row>
    <row r="193" spans="1:10">
      <c r="A193" s="12">
        <f>'1_Precios'!A191</f>
        <v>0</v>
      </c>
      <c r="B193" s="24">
        <f>INDEX('1_Precios'!$B$191:$F$191,MATCH($B$1,'1_Precios'!$B$1:$F$1,0))</f>
        <v>0</v>
      </c>
      <c r="C193" s="24">
        <f>AVERAGE(B174:B193)</f>
        <v>0</v>
      </c>
      <c r="D193" s="24">
        <f>AVERAGE(B144:B193)</f>
        <v>0</v>
      </c>
      <c r="E193" s="9">
        <f>IF(AND(C193&gt;D193,C192&lt;=D192),"COMPRA (cruce alcista)",IF(AND(C193&lt;D193,C192&gt;=D192),"VENTA (cruce bajista)",""))</f>
        <v>0</v>
      </c>
      <c r="F193" s="24">
        <f>MAX(B193-B192,0)</f>
        <v>0</v>
      </c>
      <c r="G193" s="24">
        <f>MAX(B192-B193,0)</f>
        <v>0</v>
      </c>
      <c r="H193" s="26">
        <f>IF(SUM(G180:G193)=0,100,100-100/(1+AVERAGE(F180:F193)/AVERAGE(G180:G193)))</f>
        <v>0</v>
      </c>
      <c r="I193" s="24">
        <f>C193+2*_xlfn.STDEV.S(B174:B193)</f>
        <v>0</v>
      </c>
      <c r="J193" s="24">
        <f>C193-2*_xlfn.STDEV.S(B174:B193)</f>
        <v>0</v>
      </c>
    </row>
    <row r="194" spans="1:10">
      <c r="A194" s="12">
        <f>'1_Precios'!A192</f>
        <v>0</v>
      </c>
      <c r="B194" s="24">
        <f>INDEX('1_Precios'!$B$192:$F$192,MATCH($B$1,'1_Precios'!$B$1:$F$1,0))</f>
        <v>0</v>
      </c>
      <c r="C194" s="24">
        <f>AVERAGE(B175:B194)</f>
        <v>0</v>
      </c>
      <c r="D194" s="24">
        <f>AVERAGE(B145:B194)</f>
        <v>0</v>
      </c>
      <c r="E194" s="9">
        <f>IF(AND(C194&gt;D194,C193&lt;=D193),"COMPRA (cruce alcista)",IF(AND(C194&lt;D194,C193&gt;=D193),"VENTA (cruce bajista)",""))</f>
        <v>0</v>
      </c>
      <c r="F194" s="24">
        <f>MAX(B194-B193,0)</f>
        <v>0</v>
      </c>
      <c r="G194" s="24">
        <f>MAX(B193-B194,0)</f>
        <v>0</v>
      </c>
      <c r="H194" s="26">
        <f>IF(SUM(G181:G194)=0,100,100-100/(1+AVERAGE(F181:F194)/AVERAGE(G181:G194)))</f>
        <v>0</v>
      </c>
      <c r="I194" s="24">
        <f>C194+2*_xlfn.STDEV.S(B175:B194)</f>
        <v>0</v>
      </c>
      <c r="J194" s="24">
        <f>C194-2*_xlfn.STDEV.S(B175:B194)</f>
        <v>0</v>
      </c>
    </row>
    <row r="195" spans="1:10">
      <c r="A195" s="12">
        <f>'1_Precios'!A193</f>
        <v>0</v>
      </c>
      <c r="B195" s="24">
        <f>INDEX('1_Precios'!$B$193:$F$193,MATCH($B$1,'1_Precios'!$B$1:$F$1,0))</f>
        <v>0</v>
      </c>
      <c r="C195" s="24">
        <f>AVERAGE(B176:B195)</f>
        <v>0</v>
      </c>
      <c r="D195" s="24">
        <f>AVERAGE(B146:B195)</f>
        <v>0</v>
      </c>
      <c r="E195" s="9">
        <f>IF(AND(C195&gt;D195,C194&lt;=D194),"COMPRA (cruce alcista)",IF(AND(C195&lt;D195,C194&gt;=D194),"VENTA (cruce bajista)",""))</f>
        <v>0</v>
      </c>
      <c r="F195" s="24">
        <f>MAX(B195-B194,0)</f>
        <v>0</v>
      </c>
      <c r="G195" s="24">
        <f>MAX(B194-B195,0)</f>
        <v>0</v>
      </c>
      <c r="H195" s="26">
        <f>IF(SUM(G182:G195)=0,100,100-100/(1+AVERAGE(F182:F195)/AVERAGE(G182:G195)))</f>
        <v>0</v>
      </c>
      <c r="I195" s="24">
        <f>C195+2*_xlfn.STDEV.S(B176:B195)</f>
        <v>0</v>
      </c>
      <c r="J195" s="24">
        <f>C195-2*_xlfn.STDEV.S(B176:B195)</f>
        <v>0</v>
      </c>
    </row>
    <row r="196" spans="1:10">
      <c r="A196" s="12">
        <f>'1_Precios'!A194</f>
        <v>0</v>
      </c>
      <c r="B196" s="24">
        <f>INDEX('1_Precios'!$B$194:$F$194,MATCH($B$1,'1_Precios'!$B$1:$F$1,0))</f>
        <v>0</v>
      </c>
      <c r="C196" s="24">
        <f>AVERAGE(B177:B196)</f>
        <v>0</v>
      </c>
      <c r="D196" s="24">
        <f>AVERAGE(B147:B196)</f>
        <v>0</v>
      </c>
      <c r="E196" s="9">
        <f>IF(AND(C196&gt;D196,C195&lt;=D195),"COMPRA (cruce alcista)",IF(AND(C196&lt;D196,C195&gt;=D195),"VENTA (cruce bajista)",""))</f>
        <v>0</v>
      </c>
      <c r="F196" s="24">
        <f>MAX(B196-B195,0)</f>
        <v>0</v>
      </c>
      <c r="G196" s="24">
        <f>MAX(B195-B196,0)</f>
        <v>0</v>
      </c>
      <c r="H196" s="26">
        <f>IF(SUM(G183:G196)=0,100,100-100/(1+AVERAGE(F183:F196)/AVERAGE(G183:G196)))</f>
        <v>0</v>
      </c>
      <c r="I196" s="24">
        <f>C196+2*_xlfn.STDEV.S(B177:B196)</f>
        <v>0</v>
      </c>
      <c r="J196" s="24">
        <f>C196-2*_xlfn.STDEV.S(B177:B196)</f>
        <v>0</v>
      </c>
    </row>
    <row r="197" spans="1:10">
      <c r="A197" s="12">
        <f>'1_Precios'!A195</f>
        <v>0</v>
      </c>
      <c r="B197" s="24">
        <f>INDEX('1_Precios'!$B$195:$F$195,MATCH($B$1,'1_Precios'!$B$1:$F$1,0))</f>
        <v>0</v>
      </c>
      <c r="C197" s="24">
        <f>AVERAGE(B178:B197)</f>
        <v>0</v>
      </c>
      <c r="D197" s="24">
        <f>AVERAGE(B148:B197)</f>
        <v>0</v>
      </c>
      <c r="E197" s="9">
        <f>IF(AND(C197&gt;D197,C196&lt;=D196),"COMPRA (cruce alcista)",IF(AND(C197&lt;D197,C196&gt;=D196),"VENTA (cruce bajista)",""))</f>
        <v>0</v>
      </c>
      <c r="F197" s="24">
        <f>MAX(B197-B196,0)</f>
        <v>0</v>
      </c>
      <c r="G197" s="24">
        <f>MAX(B196-B197,0)</f>
        <v>0</v>
      </c>
      <c r="H197" s="26">
        <f>IF(SUM(G184:G197)=0,100,100-100/(1+AVERAGE(F184:F197)/AVERAGE(G184:G197)))</f>
        <v>0</v>
      </c>
      <c r="I197" s="24">
        <f>C197+2*_xlfn.STDEV.S(B178:B197)</f>
        <v>0</v>
      </c>
      <c r="J197" s="24">
        <f>C197-2*_xlfn.STDEV.S(B178:B197)</f>
        <v>0</v>
      </c>
    </row>
    <row r="198" spans="1:10">
      <c r="A198" s="12">
        <f>'1_Precios'!A196</f>
        <v>0</v>
      </c>
      <c r="B198" s="24">
        <f>INDEX('1_Precios'!$B$196:$F$196,MATCH($B$1,'1_Precios'!$B$1:$F$1,0))</f>
        <v>0</v>
      </c>
      <c r="C198" s="24">
        <f>AVERAGE(B179:B198)</f>
        <v>0</v>
      </c>
      <c r="D198" s="24">
        <f>AVERAGE(B149:B198)</f>
        <v>0</v>
      </c>
      <c r="E198" s="9">
        <f>IF(AND(C198&gt;D198,C197&lt;=D197),"COMPRA (cruce alcista)",IF(AND(C198&lt;D198,C197&gt;=D197),"VENTA (cruce bajista)",""))</f>
        <v>0</v>
      </c>
      <c r="F198" s="24">
        <f>MAX(B198-B197,0)</f>
        <v>0</v>
      </c>
      <c r="G198" s="24">
        <f>MAX(B197-B198,0)</f>
        <v>0</v>
      </c>
      <c r="H198" s="26">
        <f>IF(SUM(G185:G198)=0,100,100-100/(1+AVERAGE(F185:F198)/AVERAGE(G185:G198)))</f>
        <v>0</v>
      </c>
      <c r="I198" s="24">
        <f>C198+2*_xlfn.STDEV.S(B179:B198)</f>
        <v>0</v>
      </c>
      <c r="J198" s="24">
        <f>C198-2*_xlfn.STDEV.S(B179:B198)</f>
        <v>0</v>
      </c>
    </row>
    <row r="199" spans="1:10">
      <c r="A199" s="12">
        <f>'1_Precios'!A197</f>
        <v>0</v>
      </c>
      <c r="B199" s="24">
        <f>INDEX('1_Precios'!$B$197:$F$197,MATCH($B$1,'1_Precios'!$B$1:$F$1,0))</f>
        <v>0</v>
      </c>
      <c r="C199" s="24">
        <f>AVERAGE(B180:B199)</f>
        <v>0</v>
      </c>
      <c r="D199" s="24">
        <f>AVERAGE(B150:B199)</f>
        <v>0</v>
      </c>
      <c r="E199" s="9">
        <f>IF(AND(C199&gt;D199,C198&lt;=D198),"COMPRA (cruce alcista)",IF(AND(C199&lt;D199,C198&gt;=D198),"VENTA (cruce bajista)",""))</f>
        <v>0</v>
      </c>
      <c r="F199" s="24">
        <f>MAX(B199-B198,0)</f>
        <v>0</v>
      </c>
      <c r="G199" s="24">
        <f>MAX(B198-B199,0)</f>
        <v>0</v>
      </c>
      <c r="H199" s="26">
        <f>IF(SUM(G186:G199)=0,100,100-100/(1+AVERAGE(F186:F199)/AVERAGE(G186:G199)))</f>
        <v>0</v>
      </c>
      <c r="I199" s="24">
        <f>C199+2*_xlfn.STDEV.S(B180:B199)</f>
        <v>0</v>
      </c>
      <c r="J199" s="24">
        <f>C199-2*_xlfn.STDEV.S(B180:B199)</f>
        <v>0</v>
      </c>
    </row>
    <row r="200" spans="1:10">
      <c r="A200" s="12">
        <f>'1_Precios'!A198</f>
        <v>0</v>
      </c>
      <c r="B200" s="24">
        <f>INDEX('1_Precios'!$B$198:$F$198,MATCH($B$1,'1_Precios'!$B$1:$F$1,0))</f>
        <v>0</v>
      </c>
      <c r="C200" s="24">
        <f>AVERAGE(B181:B200)</f>
        <v>0</v>
      </c>
      <c r="D200" s="24">
        <f>AVERAGE(B151:B200)</f>
        <v>0</v>
      </c>
      <c r="E200" s="9">
        <f>IF(AND(C200&gt;D200,C199&lt;=D199),"COMPRA (cruce alcista)",IF(AND(C200&lt;D200,C199&gt;=D199),"VENTA (cruce bajista)",""))</f>
        <v>0</v>
      </c>
      <c r="F200" s="24">
        <f>MAX(B200-B199,0)</f>
        <v>0</v>
      </c>
      <c r="G200" s="24">
        <f>MAX(B199-B200,0)</f>
        <v>0</v>
      </c>
      <c r="H200" s="26">
        <f>IF(SUM(G187:G200)=0,100,100-100/(1+AVERAGE(F187:F200)/AVERAGE(G187:G200)))</f>
        <v>0</v>
      </c>
      <c r="I200" s="24">
        <f>C200+2*_xlfn.STDEV.S(B181:B200)</f>
        <v>0</v>
      </c>
      <c r="J200" s="24">
        <f>C200-2*_xlfn.STDEV.S(B181:B200)</f>
        <v>0</v>
      </c>
    </row>
    <row r="201" spans="1:10">
      <c r="A201" s="12">
        <f>'1_Precios'!A199</f>
        <v>0</v>
      </c>
      <c r="B201" s="24">
        <f>INDEX('1_Precios'!$B$199:$F$199,MATCH($B$1,'1_Precios'!$B$1:$F$1,0))</f>
        <v>0</v>
      </c>
      <c r="C201" s="24">
        <f>AVERAGE(B182:B201)</f>
        <v>0</v>
      </c>
      <c r="D201" s="24">
        <f>AVERAGE(B152:B201)</f>
        <v>0</v>
      </c>
      <c r="E201" s="9">
        <f>IF(AND(C201&gt;D201,C200&lt;=D200),"COMPRA (cruce alcista)",IF(AND(C201&lt;D201,C200&gt;=D200),"VENTA (cruce bajista)",""))</f>
        <v>0</v>
      </c>
      <c r="F201" s="24">
        <f>MAX(B201-B200,0)</f>
        <v>0</v>
      </c>
      <c r="G201" s="24">
        <f>MAX(B200-B201,0)</f>
        <v>0</v>
      </c>
      <c r="H201" s="26">
        <f>IF(SUM(G188:G201)=0,100,100-100/(1+AVERAGE(F188:F201)/AVERAGE(G188:G201)))</f>
        <v>0</v>
      </c>
      <c r="I201" s="24">
        <f>C201+2*_xlfn.STDEV.S(B182:B201)</f>
        <v>0</v>
      </c>
      <c r="J201" s="24">
        <f>C201-2*_xlfn.STDEV.S(B182:B201)</f>
        <v>0</v>
      </c>
    </row>
    <row r="202" spans="1:10">
      <c r="A202" s="12">
        <f>'1_Precios'!A200</f>
        <v>0</v>
      </c>
      <c r="B202" s="24">
        <f>INDEX('1_Precios'!$B$200:$F$200,MATCH($B$1,'1_Precios'!$B$1:$F$1,0))</f>
        <v>0</v>
      </c>
      <c r="C202" s="24">
        <f>AVERAGE(B183:B202)</f>
        <v>0</v>
      </c>
      <c r="D202" s="24">
        <f>AVERAGE(B153:B202)</f>
        <v>0</v>
      </c>
      <c r="E202" s="9">
        <f>IF(AND(C202&gt;D202,C201&lt;=D201),"COMPRA (cruce alcista)",IF(AND(C202&lt;D202,C201&gt;=D201),"VENTA (cruce bajista)",""))</f>
        <v>0</v>
      </c>
      <c r="F202" s="24">
        <f>MAX(B202-B201,0)</f>
        <v>0</v>
      </c>
      <c r="G202" s="24">
        <f>MAX(B201-B202,0)</f>
        <v>0</v>
      </c>
      <c r="H202" s="26">
        <f>IF(SUM(G189:G202)=0,100,100-100/(1+AVERAGE(F189:F202)/AVERAGE(G189:G202)))</f>
        <v>0</v>
      </c>
      <c r="I202" s="24">
        <f>C202+2*_xlfn.STDEV.S(B183:B202)</f>
        <v>0</v>
      </c>
      <c r="J202" s="24">
        <f>C202-2*_xlfn.STDEV.S(B183:B202)</f>
        <v>0</v>
      </c>
    </row>
    <row r="203" spans="1:10">
      <c r="A203" s="12">
        <f>'1_Precios'!A201</f>
        <v>0</v>
      </c>
      <c r="B203" s="24">
        <f>INDEX('1_Precios'!$B$201:$F$201,MATCH($B$1,'1_Precios'!$B$1:$F$1,0))</f>
        <v>0</v>
      </c>
      <c r="C203" s="24">
        <f>AVERAGE(B184:B203)</f>
        <v>0</v>
      </c>
      <c r="D203" s="24">
        <f>AVERAGE(B154:B203)</f>
        <v>0</v>
      </c>
      <c r="E203" s="9">
        <f>IF(AND(C203&gt;D203,C202&lt;=D202),"COMPRA (cruce alcista)",IF(AND(C203&lt;D203,C202&gt;=D202),"VENTA (cruce bajista)",""))</f>
        <v>0</v>
      </c>
      <c r="F203" s="24">
        <f>MAX(B203-B202,0)</f>
        <v>0</v>
      </c>
      <c r="G203" s="24">
        <f>MAX(B202-B203,0)</f>
        <v>0</v>
      </c>
      <c r="H203" s="26">
        <f>IF(SUM(G190:G203)=0,100,100-100/(1+AVERAGE(F190:F203)/AVERAGE(G190:G203)))</f>
        <v>0</v>
      </c>
      <c r="I203" s="24">
        <f>C203+2*_xlfn.STDEV.S(B184:B203)</f>
        <v>0</v>
      </c>
      <c r="J203" s="24">
        <f>C203-2*_xlfn.STDEV.S(B184:B203)</f>
        <v>0</v>
      </c>
    </row>
    <row r="204" spans="1:10">
      <c r="A204" s="12">
        <f>'1_Precios'!A202</f>
        <v>0</v>
      </c>
      <c r="B204" s="24">
        <f>INDEX('1_Precios'!$B$202:$F$202,MATCH($B$1,'1_Precios'!$B$1:$F$1,0))</f>
        <v>0</v>
      </c>
      <c r="C204" s="24">
        <f>AVERAGE(B185:B204)</f>
        <v>0</v>
      </c>
      <c r="D204" s="24">
        <f>AVERAGE(B155:B204)</f>
        <v>0</v>
      </c>
      <c r="E204" s="9">
        <f>IF(AND(C204&gt;D204,C203&lt;=D203),"COMPRA (cruce alcista)",IF(AND(C204&lt;D204,C203&gt;=D203),"VENTA (cruce bajista)",""))</f>
        <v>0</v>
      </c>
      <c r="F204" s="24">
        <f>MAX(B204-B203,0)</f>
        <v>0</v>
      </c>
      <c r="G204" s="24">
        <f>MAX(B203-B204,0)</f>
        <v>0</v>
      </c>
      <c r="H204" s="26">
        <f>IF(SUM(G191:G204)=0,100,100-100/(1+AVERAGE(F191:F204)/AVERAGE(G191:G204)))</f>
        <v>0</v>
      </c>
      <c r="I204" s="24">
        <f>C204+2*_xlfn.STDEV.S(B185:B204)</f>
        <v>0</v>
      </c>
      <c r="J204" s="24">
        <f>C204-2*_xlfn.STDEV.S(B185:B204)</f>
        <v>0</v>
      </c>
    </row>
    <row r="205" spans="1:10">
      <c r="A205" s="12">
        <f>'1_Precios'!A203</f>
        <v>0</v>
      </c>
      <c r="B205" s="24">
        <f>INDEX('1_Precios'!$B$203:$F$203,MATCH($B$1,'1_Precios'!$B$1:$F$1,0))</f>
        <v>0</v>
      </c>
      <c r="C205" s="24">
        <f>AVERAGE(B186:B205)</f>
        <v>0</v>
      </c>
      <c r="D205" s="24">
        <f>AVERAGE(B156:B205)</f>
        <v>0</v>
      </c>
      <c r="E205" s="9">
        <f>IF(AND(C205&gt;D205,C204&lt;=D204),"COMPRA (cruce alcista)",IF(AND(C205&lt;D205,C204&gt;=D204),"VENTA (cruce bajista)",""))</f>
        <v>0</v>
      </c>
      <c r="F205" s="24">
        <f>MAX(B205-B204,0)</f>
        <v>0</v>
      </c>
      <c r="G205" s="24">
        <f>MAX(B204-B205,0)</f>
        <v>0</v>
      </c>
      <c r="H205" s="26">
        <f>IF(SUM(G192:G205)=0,100,100-100/(1+AVERAGE(F192:F205)/AVERAGE(G192:G205)))</f>
        <v>0</v>
      </c>
      <c r="I205" s="24">
        <f>C205+2*_xlfn.STDEV.S(B186:B205)</f>
        <v>0</v>
      </c>
      <c r="J205" s="24">
        <f>C205-2*_xlfn.STDEV.S(B186:B205)</f>
        <v>0</v>
      </c>
    </row>
    <row r="206" spans="1:10">
      <c r="A206" s="12">
        <f>'1_Precios'!A204</f>
        <v>0</v>
      </c>
      <c r="B206" s="24">
        <f>INDEX('1_Precios'!$B$204:$F$204,MATCH($B$1,'1_Precios'!$B$1:$F$1,0))</f>
        <v>0</v>
      </c>
      <c r="C206" s="24">
        <f>AVERAGE(B187:B206)</f>
        <v>0</v>
      </c>
      <c r="D206" s="24">
        <f>AVERAGE(B157:B206)</f>
        <v>0</v>
      </c>
      <c r="E206" s="9">
        <f>IF(AND(C206&gt;D206,C205&lt;=D205),"COMPRA (cruce alcista)",IF(AND(C206&lt;D206,C205&gt;=D205),"VENTA (cruce bajista)",""))</f>
        <v>0</v>
      </c>
      <c r="F206" s="24">
        <f>MAX(B206-B205,0)</f>
        <v>0</v>
      </c>
      <c r="G206" s="24">
        <f>MAX(B205-B206,0)</f>
        <v>0</v>
      </c>
      <c r="H206" s="26">
        <f>IF(SUM(G193:G206)=0,100,100-100/(1+AVERAGE(F193:F206)/AVERAGE(G193:G206)))</f>
        <v>0</v>
      </c>
      <c r="I206" s="24">
        <f>C206+2*_xlfn.STDEV.S(B187:B206)</f>
        <v>0</v>
      </c>
      <c r="J206" s="24">
        <f>C206-2*_xlfn.STDEV.S(B187:B206)</f>
        <v>0</v>
      </c>
    </row>
    <row r="207" spans="1:10">
      <c r="A207" s="12">
        <f>'1_Precios'!A205</f>
        <v>0</v>
      </c>
      <c r="B207" s="24">
        <f>INDEX('1_Precios'!$B$205:$F$205,MATCH($B$1,'1_Precios'!$B$1:$F$1,0))</f>
        <v>0</v>
      </c>
      <c r="C207" s="24">
        <f>AVERAGE(B188:B207)</f>
        <v>0</v>
      </c>
      <c r="D207" s="24">
        <f>AVERAGE(B158:B207)</f>
        <v>0</v>
      </c>
      <c r="E207" s="9">
        <f>IF(AND(C207&gt;D207,C206&lt;=D206),"COMPRA (cruce alcista)",IF(AND(C207&lt;D207,C206&gt;=D206),"VENTA (cruce bajista)",""))</f>
        <v>0</v>
      </c>
      <c r="F207" s="24">
        <f>MAX(B207-B206,0)</f>
        <v>0</v>
      </c>
      <c r="G207" s="24">
        <f>MAX(B206-B207,0)</f>
        <v>0</v>
      </c>
      <c r="H207" s="26">
        <f>IF(SUM(G194:G207)=0,100,100-100/(1+AVERAGE(F194:F207)/AVERAGE(G194:G207)))</f>
        <v>0</v>
      </c>
      <c r="I207" s="24">
        <f>C207+2*_xlfn.STDEV.S(B188:B207)</f>
        <v>0</v>
      </c>
      <c r="J207" s="24">
        <f>C207-2*_xlfn.STDEV.S(B188:B207)</f>
        <v>0</v>
      </c>
    </row>
    <row r="208" spans="1:10">
      <c r="A208" s="12">
        <f>'1_Precios'!A206</f>
        <v>0</v>
      </c>
      <c r="B208" s="24">
        <f>INDEX('1_Precios'!$B$206:$F$206,MATCH($B$1,'1_Precios'!$B$1:$F$1,0))</f>
        <v>0</v>
      </c>
      <c r="C208" s="24">
        <f>AVERAGE(B189:B208)</f>
        <v>0</v>
      </c>
      <c r="D208" s="24">
        <f>AVERAGE(B159:B208)</f>
        <v>0</v>
      </c>
      <c r="E208" s="9">
        <f>IF(AND(C208&gt;D208,C207&lt;=D207),"COMPRA (cruce alcista)",IF(AND(C208&lt;D208,C207&gt;=D207),"VENTA (cruce bajista)",""))</f>
        <v>0</v>
      </c>
      <c r="F208" s="24">
        <f>MAX(B208-B207,0)</f>
        <v>0</v>
      </c>
      <c r="G208" s="24">
        <f>MAX(B207-B208,0)</f>
        <v>0</v>
      </c>
      <c r="H208" s="26">
        <f>IF(SUM(G195:G208)=0,100,100-100/(1+AVERAGE(F195:F208)/AVERAGE(G195:G208)))</f>
        <v>0</v>
      </c>
      <c r="I208" s="24">
        <f>C208+2*_xlfn.STDEV.S(B189:B208)</f>
        <v>0</v>
      </c>
      <c r="J208" s="24">
        <f>C208-2*_xlfn.STDEV.S(B189:B208)</f>
        <v>0</v>
      </c>
    </row>
    <row r="209" spans="1:10">
      <c r="A209" s="12">
        <f>'1_Precios'!A207</f>
        <v>0</v>
      </c>
      <c r="B209" s="24">
        <f>INDEX('1_Precios'!$B$207:$F$207,MATCH($B$1,'1_Precios'!$B$1:$F$1,0))</f>
        <v>0</v>
      </c>
      <c r="C209" s="24">
        <f>AVERAGE(B190:B209)</f>
        <v>0</v>
      </c>
      <c r="D209" s="24">
        <f>AVERAGE(B160:B209)</f>
        <v>0</v>
      </c>
      <c r="E209" s="9">
        <f>IF(AND(C209&gt;D209,C208&lt;=D208),"COMPRA (cruce alcista)",IF(AND(C209&lt;D209,C208&gt;=D208),"VENTA (cruce bajista)",""))</f>
        <v>0</v>
      </c>
      <c r="F209" s="24">
        <f>MAX(B209-B208,0)</f>
        <v>0</v>
      </c>
      <c r="G209" s="24">
        <f>MAX(B208-B209,0)</f>
        <v>0</v>
      </c>
      <c r="H209" s="26">
        <f>IF(SUM(G196:G209)=0,100,100-100/(1+AVERAGE(F196:F209)/AVERAGE(G196:G209)))</f>
        <v>0</v>
      </c>
      <c r="I209" s="24">
        <f>C209+2*_xlfn.STDEV.S(B190:B209)</f>
        <v>0</v>
      </c>
      <c r="J209" s="24">
        <f>C209-2*_xlfn.STDEV.S(B190:B209)</f>
        <v>0</v>
      </c>
    </row>
    <row r="210" spans="1:10">
      <c r="A210" s="12">
        <f>'1_Precios'!A208</f>
        <v>0</v>
      </c>
      <c r="B210" s="24">
        <f>INDEX('1_Precios'!$B$208:$F$208,MATCH($B$1,'1_Precios'!$B$1:$F$1,0))</f>
        <v>0</v>
      </c>
      <c r="C210" s="24">
        <f>AVERAGE(B191:B210)</f>
        <v>0</v>
      </c>
      <c r="D210" s="24">
        <f>AVERAGE(B161:B210)</f>
        <v>0</v>
      </c>
      <c r="E210" s="9">
        <f>IF(AND(C210&gt;D210,C209&lt;=D209),"COMPRA (cruce alcista)",IF(AND(C210&lt;D210,C209&gt;=D209),"VENTA (cruce bajista)",""))</f>
        <v>0</v>
      </c>
      <c r="F210" s="24">
        <f>MAX(B210-B209,0)</f>
        <v>0</v>
      </c>
      <c r="G210" s="24">
        <f>MAX(B209-B210,0)</f>
        <v>0</v>
      </c>
      <c r="H210" s="26">
        <f>IF(SUM(G197:G210)=0,100,100-100/(1+AVERAGE(F197:F210)/AVERAGE(G197:G210)))</f>
        <v>0</v>
      </c>
      <c r="I210" s="24">
        <f>C210+2*_xlfn.STDEV.S(B191:B210)</f>
        <v>0</v>
      </c>
      <c r="J210" s="24">
        <f>C210-2*_xlfn.STDEV.S(B191:B210)</f>
        <v>0</v>
      </c>
    </row>
    <row r="211" spans="1:10">
      <c r="A211" s="12">
        <f>'1_Precios'!A209</f>
        <v>0</v>
      </c>
      <c r="B211" s="24">
        <f>INDEX('1_Precios'!$B$209:$F$209,MATCH($B$1,'1_Precios'!$B$1:$F$1,0))</f>
        <v>0</v>
      </c>
      <c r="C211" s="24">
        <f>AVERAGE(B192:B211)</f>
        <v>0</v>
      </c>
      <c r="D211" s="24">
        <f>AVERAGE(B162:B211)</f>
        <v>0</v>
      </c>
      <c r="E211" s="9">
        <f>IF(AND(C211&gt;D211,C210&lt;=D210),"COMPRA (cruce alcista)",IF(AND(C211&lt;D211,C210&gt;=D210),"VENTA (cruce bajista)",""))</f>
        <v>0</v>
      </c>
      <c r="F211" s="24">
        <f>MAX(B211-B210,0)</f>
        <v>0</v>
      </c>
      <c r="G211" s="24">
        <f>MAX(B210-B211,0)</f>
        <v>0</v>
      </c>
      <c r="H211" s="26">
        <f>IF(SUM(G198:G211)=0,100,100-100/(1+AVERAGE(F198:F211)/AVERAGE(G198:G211)))</f>
        <v>0</v>
      </c>
      <c r="I211" s="24">
        <f>C211+2*_xlfn.STDEV.S(B192:B211)</f>
        <v>0</v>
      </c>
      <c r="J211" s="24">
        <f>C211-2*_xlfn.STDEV.S(B192:B211)</f>
        <v>0</v>
      </c>
    </row>
    <row r="212" spans="1:10">
      <c r="A212" s="12">
        <f>'1_Precios'!A210</f>
        <v>0</v>
      </c>
      <c r="B212" s="24">
        <f>INDEX('1_Precios'!$B$210:$F$210,MATCH($B$1,'1_Precios'!$B$1:$F$1,0))</f>
        <v>0</v>
      </c>
      <c r="C212" s="24">
        <f>AVERAGE(B193:B212)</f>
        <v>0</v>
      </c>
      <c r="D212" s="24">
        <f>AVERAGE(B163:B212)</f>
        <v>0</v>
      </c>
      <c r="E212" s="9">
        <f>IF(AND(C212&gt;D212,C211&lt;=D211),"COMPRA (cruce alcista)",IF(AND(C212&lt;D212,C211&gt;=D211),"VENTA (cruce bajista)",""))</f>
        <v>0</v>
      </c>
      <c r="F212" s="24">
        <f>MAX(B212-B211,0)</f>
        <v>0</v>
      </c>
      <c r="G212" s="24">
        <f>MAX(B211-B212,0)</f>
        <v>0</v>
      </c>
      <c r="H212" s="26">
        <f>IF(SUM(G199:G212)=0,100,100-100/(1+AVERAGE(F199:F212)/AVERAGE(G199:G212)))</f>
        <v>0</v>
      </c>
      <c r="I212" s="24">
        <f>C212+2*_xlfn.STDEV.S(B193:B212)</f>
        <v>0</v>
      </c>
      <c r="J212" s="24">
        <f>C212-2*_xlfn.STDEV.S(B193:B212)</f>
        <v>0</v>
      </c>
    </row>
    <row r="213" spans="1:10">
      <c r="A213" s="12">
        <f>'1_Precios'!A211</f>
        <v>0</v>
      </c>
      <c r="B213" s="24">
        <f>INDEX('1_Precios'!$B$211:$F$211,MATCH($B$1,'1_Precios'!$B$1:$F$1,0))</f>
        <v>0</v>
      </c>
      <c r="C213" s="24">
        <f>AVERAGE(B194:B213)</f>
        <v>0</v>
      </c>
      <c r="D213" s="24">
        <f>AVERAGE(B164:B213)</f>
        <v>0</v>
      </c>
      <c r="E213" s="9">
        <f>IF(AND(C213&gt;D213,C212&lt;=D212),"COMPRA (cruce alcista)",IF(AND(C213&lt;D213,C212&gt;=D212),"VENTA (cruce bajista)",""))</f>
        <v>0</v>
      </c>
      <c r="F213" s="24">
        <f>MAX(B213-B212,0)</f>
        <v>0</v>
      </c>
      <c r="G213" s="24">
        <f>MAX(B212-B213,0)</f>
        <v>0</v>
      </c>
      <c r="H213" s="26">
        <f>IF(SUM(G200:G213)=0,100,100-100/(1+AVERAGE(F200:F213)/AVERAGE(G200:G213)))</f>
        <v>0</v>
      </c>
      <c r="I213" s="24">
        <f>C213+2*_xlfn.STDEV.S(B194:B213)</f>
        <v>0</v>
      </c>
      <c r="J213" s="24">
        <f>C213-2*_xlfn.STDEV.S(B194:B213)</f>
        <v>0</v>
      </c>
    </row>
    <row r="214" spans="1:10">
      <c r="A214" s="12">
        <f>'1_Precios'!A212</f>
        <v>0</v>
      </c>
      <c r="B214" s="24">
        <f>INDEX('1_Precios'!$B$212:$F$212,MATCH($B$1,'1_Precios'!$B$1:$F$1,0))</f>
        <v>0</v>
      </c>
      <c r="C214" s="24">
        <f>AVERAGE(B195:B214)</f>
        <v>0</v>
      </c>
      <c r="D214" s="24">
        <f>AVERAGE(B165:B214)</f>
        <v>0</v>
      </c>
      <c r="E214" s="9">
        <f>IF(AND(C214&gt;D214,C213&lt;=D213),"COMPRA (cruce alcista)",IF(AND(C214&lt;D214,C213&gt;=D213),"VENTA (cruce bajista)",""))</f>
        <v>0</v>
      </c>
      <c r="F214" s="24">
        <f>MAX(B214-B213,0)</f>
        <v>0</v>
      </c>
      <c r="G214" s="24">
        <f>MAX(B213-B214,0)</f>
        <v>0</v>
      </c>
      <c r="H214" s="26">
        <f>IF(SUM(G201:G214)=0,100,100-100/(1+AVERAGE(F201:F214)/AVERAGE(G201:G214)))</f>
        <v>0</v>
      </c>
      <c r="I214" s="24">
        <f>C214+2*_xlfn.STDEV.S(B195:B214)</f>
        <v>0</v>
      </c>
      <c r="J214" s="24">
        <f>C214-2*_xlfn.STDEV.S(B195:B214)</f>
        <v>0</v>
      </c>
    </row>
    <row r="215" spans="1:10">
      <c r="A215" s="12">
        <f>'1_Precios'!A213</f>
        <v>0</v>
      </c>
      <c r="B215" s="24">
        <f>INDEX('1_Precios'!$B$213:$F$213,MATCH($B$1,'1_Precios'!$B$1:$F$1,0))</f>
        <v>0</v>
      </c>
      <c r="C215" s="24">
        <f>AVERAGE(B196:B215)</f>
        <v>0</v>
      </c>
      <c r="D215" s="24">
        <f>AVERAGE(B166:B215)</f>
        <v>0</v>
      </c>
      <c r="E215" s="9">
        <f>IF(AND(C215&gt;D215,C214&lt;=D214),"COMPRA (cruce alcista)",IF(AND(C215&lt;D215,C214&gt;=D214),"VENTA (cruce bajista)",""))</f>
        <v>0</v>
      </c>
      <c r="F215" s="24">
        <f>MAX(B215-B214,0)</f>
        <v>0</v>
      </c>
      <c r="G215" s="24">
        <f>MAX(B214-B215,0)</f>
        <v>0</v>
      </c>
      <c r="H215" s="26">
        <f>IF(SUM(G202:G215)=0,100,100-100/(1+AVERAGE(F202:F215)/AVERAGE(G202:G215)))</f>
        <v>0</v>
      </c>
      <c r="I215" s="24">
        <f>C215+2*_xlfn.STDEV.S(B196:B215)</f>
        <v>0</v>
      </c>
      <c r="J215" s="24">
        <f>C215-2*_xlfn.STDEV.S(B196:B215)</f>
        <v>0</v>
      </c>
    </row>
    <row r="216" spans="1:10">
      <c r="A216" s="12">
        <f>'1_Precios'!A214</f>
        <v>0</v>
      </c>
      <c r="B216" s="24">
        <f>INDEX('1_Precios'!$B$214:$F$214,MATCH($B$1,'1_Precios'!$B$1:$F$1,0))</f>
        <v>0</v>
      </c>
      <c r="C216" s="24">
        <f>AVERAGE(B197:B216)</f>
        <v>0</v>
      </c>
      <c r="D216" s="24">
        <f>AVERAGE(B167:B216)</f>
        <v>0</v>
      </c>
      <c r="E216" s="9">
        <f>IF(AND(C216&gt;D216,C215&lt;=D215),"COMPRA (cruce alcista)",IF(AND(C216&lt;D216,C215&gt;=D215),"VENTA (cruce bajista)",""))</f>
        <v>0</v>
      </c>
      <c r="F216" s="24">
        <f>MAX(B216-B215,0)</f>
        <v>0</v>
      </c>
      <c r="G216" s="24">
        <f>MAX(B215-B216,0)</f>
        <v>0</v>
      </c>
      <c r="H216" s="26">
        <f>IF(SUM(G203:G216)=0,100,100-100/(1+AVERAGE(F203:F216)/AVERAGE(G203:G216)))</f>
        <v>0</v>
      </c>
      <c r="I216" s="24">
        <f>C216+2*_xlfn.STDEV.S(B197:B216)</f>
        <v>0</v>
      </c>
      <c r="J216" s="24">
        <f>C216-2*_xlfn.STDEV.S(B197:B216)</f>
        <v>0</v>
      </c>
    </row>
    <row r="217" spans="1:10">
      <c r="A217" s="12">
        <f>'1_Precios'!A215</f>
        <v>0</v>
      </c>
      <c r="B217" s="24">
        <f>INDEX('1_Precios'!$B$215:$F$215,MATCH($B$1,'1_Precios'!$B$1:$F$1,0))</f>
        <v>0</v>
      </c>
      <c r="C217" s="24">
        <f>AVERAGE(B198:B217)</f>
        <v>0</v>
      </c>
      <c r="D217" s="24">
        <f>AVERAGE(B168:B217)</f>
        <v>0</v>
      </c>
      <c r="E217" s="9">
        <f>IF(AND(C217&gt;D217,C216&lt;=D216),"COMPRA (cruce alcista)",IF(AND(C217&lt;D217,C216&gt;=D216),"VENTA (cruce bajista)",""))</f>
        <v>0</v>
      </c>
      <c r="F217" s="24">
        <f>MAX(B217-B216,0)</f>
        <v>0</v>
      </c>
      <c r="G217" s="24">
        <f>MAX(B216-B217,0)</f>
        <v>0</v>
      </c>
      <c r="H217" s="26">
        <f>IF(SUM(G204:G217)=0,100,100-100/(1+AVERAGE(F204:F217)/AVERAGE(G204:G217)))</f>
        <v>0</v>
      </c>
      <c r="I217" s="24">
        <f>C217+2*_xlfn.STDEV.S(B198:B217)</f>
        <v>0</v>
      </c>
      <c r="J217" s="24">
        <f>C217-2*_xlfn.STDEV.S(B198:B217)</f>
        <v>0</v>
      </c>
    </row>
    <row r="218" spans="1:10">
      <c r="A218" s="12">
        <f>'1_Precios'!A216</f>
        <v>0</v>
      </c>
      <c r="B218" s="24">
        <f>INDEX('1_Precios'!$B$216:$F$216,MATCH($B$1,'1_Precios'!$B$1:$F$1,0))</f>
        <v>0</v>
      </c>
      <c r="C218" s="24">
        <f>AVERAGE(B199:B218)</f>
        <v>0</v>
      </c>
      <c r="D218" s="24">
        <f>AVERAGE(B169:B218)</f>
        <v>0</v>
      </c>
      <c r="E218" s="9">
        <f>IF(AND(C218&gt;D218,C217&lt;=D217),"COMPRA (cruce alcista)",IF(AND(C218&lt;D218,C217&gt;=D217),"VENTA (cruce bajista)",""))</f>
        <v>0</v>
      </c>
      <c r="F218" s="24">
        <f>MAX(B218-B217,0)</f>
        <v>0</v>
      </c>
      <c r="G218" s="24">
        <f>MAX(B217-B218,0)</f>
        <v>0</v>
      </c>
      <c r="H218" s="26">
        <f>IF(SUM(G205:G218)=0,100,100-100/(1+AVERAGE(F205:F218)/AVERAGE(G205:G218)))</f>
        <v>0</v>
      </c>
      <c r="I218" s="24">
        <f>C218+2*_xlfn.STDEV.S(B199:B218)</f>
        <v>0</v>
      </c>
      <c r="J218" s="24">
        <f>C218-2*_xlfn.STDEV.S(B199:B218)</f>
        <v>0</v>
      </c>
    </row>
    <row r="219" spans="1:10">
      <c r="A219" s="12">
        <f>'1_Precios'!A217</f>
        <v>0</v>
      </c>
      <c r="B219" s="24">
        <f>INDEX('1_Precios'!$B$217:$F$217,MATCH($B$1,'1_Precios'!$B$1:$F$1,0))</f>
        <v>0</v>
      </c>
      <c r="C219" s="24">
        <f>AVERAGE(B200:B219)</f>
        <v>0</v>
      </c>
      <c r="D219" s="24">
        <f>AVERAGE(B170:B219)</f>
        <v>0</v>
      </c>
      <c r="E219" s="9">
        <f>IF(AND(C219&gt;D219,C218&lt;=D218),"COMPRA (cruce alcista)",IF(AND(C219&lt;D219,C218&gt;=D218),"VENTA (cruce bajista)",""))</f>
        <v>0</v>
      </c>
      <c r="F219" s="24">
        <f>MAX(B219-B218,0)</f>
        <v>0</v>
      </c>
      <c r="G219" s="24">
        <f>MAX(B218-B219,0)</f>
        <v>0</v>
      </c>
      <c r="H219" s="26">
        <f>IF(SUM(G206:G219)=0,100,100-100/(1+AVERAGE(F206:F219)/AVERAGE(G206:G219)))</f>
        <v>0</v>
      </c>
      <c r="I219" s="24">
        <f>C219+2*_xlfn.STDEV.S(B200:B219)</f>
        <v>0</v>
      </c>
      <c r="J219" s="24">
        <f>C219-2*_xlfn.STDEV.S(B200:B219)</f>
        <v>0</v>
      </c>
    </row>
    <row r="220" spans="1:10">
      <c r="A220" s="12">
        <f>'1_Precios'!A218</f>
        <v>0</v>
      </c>
      <c r="B220" s="24">
        <f>INDEX('1_Precios'!$B$218:$F$218,MATCH($B$1,'1_Precios'!$B$1:$F$1,0))</f>
        <v>0</v>
      </c>
      <c r="C220" s="24">
        <f>AVERAGE(B201:B220)</f>
        <v>0</v>
      </c>
      <c r="D220" s="24">
        <f>AVERAGE(B171:B220)</f>
        <v>0</v>
      </c>
      <c r="E220" s="9">
        <f>IF(AND(C220&gt;D220,C219&lt;=D219),"COMPRA (cruce alcista)",IF(AND(C220&lt;D220,C219&gt;=D219),"VENTA (cruce bajista)",""))</f>
        <v>0</v>
      </c>
      <c r="F220" s="24">
        <f>MAX(B220-B219,0)</f>
        <v>0</v>
      </c>
      <c r="G220" s="24">
        <f>MAX(B219-B220,0)</f>
        <v>0</v>
      </c>
      <c r="H220" s="26">
        <f>IF(SUM(G207:G220)=0,100,100-100/(1+AVERAGE(F207:F220)/AVERAGE(G207:G220)))</f>
        <v>0</v>
      </c>
      <c r="I220" s="24">
        <f>C220+2*_xlfn.STDEV.S(B201:B220)</f>
        <v>0</v>
      </c>
      <c r="J220" s="24">
        <f>C220-2*_xlfn.STDEV.S(B201:B220)</f>
        <v>0</v>
      </c>
    </row>
    <row r="221" spans="1:10">
      <c r="A221" s="12">
        <f>'1_Precios'!A219</f>
        <v>0</v>
      </c>
      <c r="B221" s="24">
        <f>INDEX('1_Precios'!$B$219:$F$219,MATCH($B$1,'1_Precios'!$B$1:$F$1,0))</f>
        <v>0</v>
      </c>
      <c r="C221" s="24">
        <f>AVERAGE(B202:B221)</f>
        <v>0</v>
      </c>
      <c r="D221" s="24">
        <f>AVERAGE(B172:B221)</f>
        <v>0</v>
      </c>
      <c r="E221" s="9">
        <f>IF(AND(C221&gt;D221,C220&lt;=D220),"COMPRA (cruce alcista)",IF(AND(C221&lt;D221,C220&gt;=D220),"VENTA (cruce bajista)",""))</f>
        <v>0</v>
      </c>
      <c r="F221" s="24">
        <f>MAX(B221-B220,0)</f>
        <v>0</v>
      </c>
      <c r="G221" s="24">
        <f>MAX(B220-B221,0)</f>
        <v>0</v>
      </c>
      <c r="H221" s="26">
        <f>IF(SUM(G208:G221)=0,100,100-100/(1+AVERAGE(F208:F221)/AVERAGE(G208:G221)))</f>
        <v>0</v>
      </c>
      <c r="I221" s="24">
        <f>C221+2*_xlfn.STDEV.S(B202:B221)</f>
        <v>0</v>
      </c>
      <c r="J221" s="24">
        <f>C221-2*_xlfn.STDEV.S(B202:B221)</f>
        <v>0</v>
      </c>
    </row>
    <row r="222" spans="1:10">
      <c r="A222" s="12">
        <f>'1_Precios'!A220</f>
        <v>0</v>
      </c>
      <c r="B222" s="24">
        <f>INDEX('1_Precios'!$B$220:$F$220,MATCH($B$1,'1_Precios'!$B$1:$F$1,0))</f>
        <v>0</v>
      </c>
      <c r="C222" s="24">
        <f>AVERAGE(B203:B222)</f>
        <v>0</v>
      </c>
      <c r="D222" s="24">
        <f>AVERAGE(B173:B222)</f>
        <v>0</v>
      </c>
      <c r="E222" s="9">
        <f>IF(AND(C222&gt;D222,C221&lt;=D221),"COMPRA (cruce alcista)",IF(AND(C222&lt;D222,C221&gt;=D221),"VENTA (cruce bajista)",""))</f>
        <v>0</v>
      </c>
      <c r="F222" s="24">
        <f>MAX(B222-B221,0)</f>
        <v>0</v>
      </c>
      <c r="G222" s="24">
        <f>MAX(B221-B222,0)</f>
        <v>0</v>
      </c>
      <c r="H222" s="26">
        <f>IF(SUM(G209:G222)=0,100,100-100/(1+AVERAGE(F209:F222)/AVERAGE(G209:G222)))</f>
        <v>0</v>
      </c>
      <c r="I222" s="24">
        <f>C222+2*_xlfn.STDEV.S(B203:B222)</f>
        <v>0</v>
      </c>
      <c r="J222" s="24">
        <f>C222-2*_xlfn.STDEV.S(B203:B222)</f>
        <v>0</v>
      </c>
    </row>
    <row r="223" spans="1:10">
      <c r="A223" s="12">
        <f>'1_Precios'!A221</f>
        <v>0</v>
      </c>
      <c r="B223" s="24">
        <f>INDEX('1_Precios'!$B$221:$F$221,MATCH($B$1,'1_Precios'!$B$1:$F$1,0))</f>
        <v>0</v>
      </c>
      <c r="C223" s="24">
        <f>AVERAGE(B204:B223)</f>
        <v>0</v>
      </c>
      <c r="D223" s="24">
        <f>AVERAGE(B174:B223)</f>
        <v>0</v>
      </c>
      <c r="E223" s="9">
        <f>IF(AND(C223&gt;D223,C222&lt;=D222),"COMPRA (cruce alcista)",IF(AND(C223&lt;D223,C222&gt;=D222),"VENTA (cruce bajista)",""))</f>
        <v>0</v>
      </c>
      <c r="F223" s="24">
        <f>MAX(B223-B222,0)</f>
        <v>0</v>
      </c>
      <c r="G223" s="24">
        <f>MAX(B222-B223,0)</f>
        <v>0</v>
      </c>
      <c r="H223" s="26">
        <f>IF(SUM(G210:G223)=0,100,100-100/(1+AVERAGE(F210:F223)/AVERAGE(G210:G223)))</f>
        <v>0</v>
      </c>
      <c r="I223" s="24">
        <f>C223+2*_xlfn.STDEV.S(B204:B223)</f>
        <v>0</v>
      </c>
      <c r="J223" s="24">
        <f>C223-2*_xlfn.STDEV.S(B204:B223)</f>
        <v>0</v>
      </c>
    </row>
    <row r="224" spans="1:10">
      <c r="A224" s="12">
        <f>'1_Precios'!A222</f>
        <v>0</v>
      </c>
      <c r="B224" s="24">
        <f>INDEX('1_Precios'!$B$222:$F$222,MATCH($B$1,'1_Precios'!$B$1:$F$1,0))</f>
        <v>0</v>
      </c>
      <c r="C224" s="24">
        <f>AVERAGE(B205:B224)</f>
        <v>0</v>
      </c>
      <c r="D224" s="24">
        <f>AVERAGE(B175:B224)</f>
        <v>0</v>
      </c>
      <c r="E224" s="9">
        <f>IF(AND(C224&gt;D224,C223&lt;=D223),"COMPRA (cruce alcista)",IF(AND(C224&lt;D224,C223&gt;=D223),"VENTA (cruce bajista)",""))</f>
        <v>0</v>
      </c>
      <c r="F224" s="24">
        <f>MAX(B224-B223,0)</f>
        <v>0</v>
      </c>
      <c r="G224" s="24">
        <f>MAX(B223-B224,0)</f>
        <v>0</v>
      </c>
      <c r="H224" s="26">
        <f>IF(SUM(G211:G224)=0,100,100-100/(1+AVERAGE(F211:F224)/AVERAGE(G211:G224)))</f>
        <v>0</v>
      </c>
      <c r="I224" s="24">
        <f>C224+2*_xlfn.STDEV.S(B205:B224)</f>
        <v>0</v>
      </c>
      <c r="J224" s="24">
        <f>C224-2*_xlfn.STDEV.S(B205:B224)</f>
        <v>0</v>
      </c>
    </row>
    <row r="225" spans="1:10">
      <c r="A225" s="12">
        <f>'1_Precios'!A223</f>
        <v>0</v>
      </c>
      <c r="B225" s="24">
        <f>INDEX('1_Precios'!$B$223:$F$223,MATCH($B$1,'1_Precios'!$B$1:$F$1,0))</f>
        <v>0</v>
      </c>
      <c r="C225" s="24">
        <f>AVERAGE(B206:B225)</f>
        <v>0</v>
      </c>
      <c r="D225" s="24">
        <f>AVERAGE(B176:B225)</f>
        <v>0</v>
      </c>
      <c r="E225" s="9">
        <f>IF(AND(C225&gt;D225,C224&lt;=D224),"COMPRA (cruce alcista)",IF(AND(C225&lt;D225,C224&gt;=D224),"VENTA (cruce bajista)",""))</f>
        <v>0</v>
      </c>
      <c r="F225" s="24">
        <f>MAX(B225-B224,0)</f>
        <v>0</v>
      </c>
      <c r="G225" s="24">
        <f>MAX(B224-B225,0)</f>
        <v>0</v>
      </c>
      <c r="H225" s="26">
        <f>IF(SUM(G212:G225)=0,100,100-100/(1+AVERAGE(F212:F225)/AVERAGE(G212:G225)))</f>
        <v>0</v>
      </c>
      <c r="I225" s="24">
        <f>C225+2*_xlfn.STDEV.S(B206:B225)</f>
        <v>0</v>
      </c>
      <c r="J225" s="24">
        <f>C225-2*_xlfn.STDEV.S(B206:B225)</f>
        <v>0</v>
      </c>
    </row>
    <row r="226" spans="1:10">
      <c r="A226" s="12">
        <f>'1_Precios'!A224</f>
        <v>0</v>
      </c>
      <c r="B226" s="24">
        <f>INDEX('1_Precios'!$B$224:$F$224,MATCH($B$1,'1_Precios'!$B$1:$F$1,0))</f>
        <v>0</v>
      </c>
      <c r="C226" s="24">
        <f>AVERAGE(B207:B226)</f>
        <v>0</v>
      </c>
      <c r="D226" s="24">
        <f>AVERAGE(B177:B226)</f>
        <v>0</v>
      </c>
      <c r="E226" s="9">
        <f>IF(AND(C226&gt;D226,C225&lt;=D225),"COMPRA (cruce alcista)",IF(AND(C226&lt;D226,C225&gt;=D225),"VENTA (cruce bajista)",""))</f>
        <v>0</v>
      </c>
      <c r="F226" s="24">
        <f>MAX(B226-B225,0)</f>
        <v>0</v>
      </c>
      <c r="G226" s="24">
        <f>MAX(B225-B226,0)</f>
        <v>0</v>
      </c>
      <c r="H226" s="26">
        <f>IF(SUM(G213:G226)=0,100,100-100/(1+AVERAGE(F213:F226)/AVERAGE(G213:G226)))</f>
        <v>0</v>
      </c>
      <c r="I226" s="24">
        <f>C226+2*_xlfn.STDEV.S(B207:B226)</f>
        <v>0</v>
      </c>
      <c r="J226" s="24">
        <f>C226-2*_xlfn.STDEV.S(B207:B226)</f>
        <v>0</v>
      </c>
    </row>
    <row r="227" spans="1:10">
      <c r="A227" s="12">
        <f>'1_Precios'!A225</f>
        <v>0</v>
      </c>
      <c r="B227" s="24">
        <f>INDEX('1_Precios'!$B$225:$F$225,MATCH($B$1,'1_Precios'!$B$1:$F$1,0))</f>
        <v>0</v>
      </c>
      <c r="C227" s="24">
        <f>AVERAGE(B208:B227)</f>
        <v>0</v>
      </c>
      <c r="D227" s="24">
        <f>AVERAGE(B178:B227)</f>
        <v>0</v>
      </c>
      <c r="E227" s="9">
        <f>IF(AND(C227&gt;D227,C226&lt;=D226),"COMPRA (cruce alcista)",IF(AND(C227&lt;D227,C226&gt;=D226),"VENTA (cruce bajista)",""))</f>
        <v>0</v>
      </c>
      <c r="F227" s="24">
        <f>MAX(B227-B226,0)</f>
        <v>0</v>
      </c>
      <c r="G227" s="24">
        <f>MAX(B226-B227,0)</f>
        <v>0</v>
      </c>
      <c r="H227" s="26">
        <f>IF(SUM(G214:G227)=0,100,100-100/(1+AVERAGE(F214:F227)/AVERAGE(G214:G227)))</f>
        <v>0</v>
      </c>
      <c r="I227" s="24">
        <f>C227+2*_xlfn.STDEV.S(B208:B227)</f>
        <v>0</v>
      </c>
      <c r="J227" s="24">
        <f>C227-2*_xlfn.STDEV.S(B208:B227)</f>
        <v>0</v>
      </c>
    </row>
    <row r="228" spans="1:10">
      <c r="A228" s="12">
        <f>'1_Precios'!A226</f>
        <v>0</v>
      </c>
      <c r="B228" s="24">
        <f>INDEX('1_Precios'!$B$226:$F$226,MATCH($B$1,'1_Precios'!$B$1:$F$1,0))</f>
        <v>0</v>
      </c>
      <c r="C228" s="24">
        <f>AVERAGE(B209:B228)</f>
        <v>0</v>
      </c>
      <c r="D228" s="24">
        <f>AVERAGE(B179:B228)</f>
        <v>0</v>
      </c>
      <c r="E228" s="9">
        <f>IF(AND(C228&gt;D228,C227&lt;=D227),"COMPRA (cruce alcista)",IF(AND(C228&lt;D228,C227&gt;=D227),"VENTA (cruce bajista)",""))</f>
        <v>0</v>
      </c>
      <c r="F228" s="24">
        <f>MAX(B228-B227,0)</f>
        <v>0</v>
      </c>
      <c r="G228" s="24">
        <f>MAX(B227-B228,0)</f>
        <v>0</v>
      </c>
      <c r="H228" s="26">
        <f>IF(SUM(G215:G228)=0,100,100-100/(1+AVERAGE(F215:F228)/AVERAGE(G215:G228)))</f>
        <v>0</v>
      </c>
      <c r="I228" s="24">
        <f>C228+2*_xlfn.STDEV.S(B209:B228)</f>
        <v>0</v>
      </c>
      <c r="J228" s="24">
        <f>C228-2*_xlfn.STDEV.S(B209:B228)</f>
        <v>0</v>
      </c>
    </row>
    <row r="229" spans="1:10">
      <c r="A229" s="12">
        <f>'1_Precios'!A227</f>
        <v>0</v>
      </c>
      <c r="B229" s="24">
        <f>INDEX('1_Precios'!$B$227:$F$227,MATCH($B$1,'1_Precios'!$B$1:$F$1,0))</f>
        <v>0</v>
      </c>
      <c r="C229" s="24">
        <f>AVERAGE(B210:B229)</f>
        <v>0</v>
      </c>
      <c r="D229" s="24">
        <f>AVERAGE(B180:B229)</f>
        <v>0</v>
      </c>
      <c r="E229" s="9">
        <f>IF(AND(C229&gt;D229,C228&lt;=D228),"COMPRA (cruce alcista)",IF(AND(C229&lt;D229,C228&gt;=D228),"VENTA (cruce bajista)",""))</f>
        <v>0</v>
      </c>
      <c r="F229" s="24">
        <f>MAX(B229-B228,0)</f>
        <v>0</v>
      </c>
      <c r="G229" s="24">
        <f>MAX(B228-B229,0)</f>
        <v>0</v>
      </c>
      <c r="H229" s="26">
        <f>IF(SUM(G216:G229)=0,100,100-100/(1+AVERAGE(F216:F229)/AVERAGE(G216:G229)))</f>
        <v>0</v>
      </c>
      <c r="I229" s="24">
        <f>C229+2*_xlfn.STDEV.S(B210:B229)</f>
        <v>0</v>
      </c>
      <c r="J229" s="24">
        <f>C229-2*_xlfn.STDEV.S(B210:B229)</f>
        <v>0</v>
      </c>
    </row>
    <row r="230" spans="1:10">
      <c r="A230" s="12">
        <f>'1_Precios'!A228</f>
        <v>0</v>
      </c>
      <c r="B230" s="24">
        <f>INDEX('1_Precios'!$B$228:$F$228,MATCH($B$1,'1_Precios'!$B$1:$F$1,0))</f>
        <v>0</v>
      </c>
      <c r="C230" s="24">
        <f>AVERAGE(B211:B230)</f>
        <v>0</v>
      </c>
      <c r="D230" s="24">
        <f>AVERAGE(B181:B230)</f>
        <v>0</v>
      </c>
      <c r="E230" s="9">
        <f>IF(AND(C230&gt;D230,C229&lt;=D229),"COMPRA (cruce alcista)",IF(AND(C230&lt;D230,C229&gt;=D229),"VENTA (cruce bajista)",""))</f>
        <v>0</v>
      </c>
      <c r="F230" s="24">
        <f>MAX(B230-B229,0)</f>
        <v>0</v>
      </c>
      <c r="G230" s="24">
        <f>MAX(B229-B230,0)</f>
        <v>0</v>
      </c>
      <c r="H230" s="26">
        <f>IF(SUM(G217:G230)=0,100,100-100/(1+AVERAGE(F217:F230)/AVERAGE(G217:G230)))</f>
        <v>0</v>
      </c>
      <c r="I230" s="24">
        <f>C230+2*_xlfn.STDEV.S(B211:B230)</f>
        <v>0</v>
      </c>
      <c r="J230" s="24">
        <f>C230-2*_xlfn.STDEV.S(B211:B230)</f>
        <v>0</v>
      </c>
    </row>
    <row r="231" spans="1:10">
      <c r="A231" s="12">
        <f>'1_Precios'!A229</f>
        <v>0</v>
      </c>
      <c r="B231" s="24">
        <f>INDEX('1_Precios'!$B$229:$F$229,MATCH($B$1,'1_Precios'!$B$1:$F$1,0))</f>
        <v>0</v>
      </c>
      <c r="C231" s="24">
        <f>AVERAGE(B212:B231)</f>
        <v>0</v>
      </c>
      <c r="D231" s="24">
        <f>AVERAGE(B182:B231)</f>
        <v>0</v>
      </c>
      <c r="E231" s="9">
        <f>IF(AND(C231&gt;D231,C230&lt;=D230),"COMPRA (cruce alcista)",IF(AND(C231&lt;D231,C230&gt;=D230),"VENTA (cruce bajista)",""))</f>
        <v>0</v>
      </c>
      <c r="F231" s="24">
        <f>MAX(B231-B230,0)</f>
        <v>0</v>
      </c>
      <c r="G231" s="24">
        <f>MAX(B230-B231,0)</f>
        <v>0</v>
      </c>
      <c r="H231" s="26">
        <f>IF(SUM(G218:G231)=0,100,100-100/(1+AVERAGE(F218:F231)/AVERAGE(G218:G231)))</f>
        <v>0</v>
      </c>
      <c r="I231" s="24">
        <f>C231+2*_xlfn.STDEV.S(B212:B231)</f>
        <v>0</v>
      </c>
      <c r="J231" s="24">
        <f>C231-2*_xlfn.STDEV.S(B212:B231)</f>
        <v>0</v>
      </c>
    </row>
    <row r="232" spans="1:10">
      <c r="A232" s="12">
        <f>'1_Precios'!A230</f>
        <v>0</v>
      </c>
      <c r="B232" s="24">
        <f>INDEX('1_Precios'!$B$230:$F$230,MATCH($B$1,'1_Precios'!$B$1:$F$1,0))</f>
        <v>0</v>
      </c>
      <c r="C232" s="24">
        <f>AVERAGE(B213:B232)</f>
        <v>0</v>
      </c>
      <c r="D232" s="24">
        <f>AVERAGE(B183:B232)</f>
        <v>0</v>
      </c>
      <c r="E232" s="9">
        <f>IF(AND(C232&gt;D232,C231&lt;=D231),"COMPRA (cruce alcista)",IF(AND(C232&lt;D232,C231&gt;=D231),"VENTA (cruce bajista)",""))</f>
        <v>0</v>
      </c>
      <c r="F232" s="24">
        <f>MAX(B232-B231,0)</f>
        <v>0</v>
      </c>
      <c r="G232" s="24">
        <f>MAX(B231-B232,0)</f>
        <v>0</v>
      </c>
      <c r="H232" s="26">
        <f>IF(SUM(G219:G232)=0,100,100-100/(1+AVERAGE(F219:F232)/AVERAGE(G219:G232)))</f>
        <v>0</v>
      </c>
      <c r="I232" s="24">
        <f>C232+2*_xlfn.STDEV.S(B213:B232)</f>
        <v>0</v>
      </c>
      <c r="J232" s="24">
        <f>C232-2*_xlfn.STDEV.S(B213:B232)</f>
        <v>0</v>
      </c>
    </row>
    <row r="233" spans="1:10">
      <c r="A233" s="12">
        <f>'1_Precios'!A231</f>
        <v>0</v>
      </c>
      <c r="B233" s="24">
        <f>INDEX('1_Precios'!$B$231:$F$231,MATCH($B$1,'1_Precios'!$B$1:$F$1,0))</f>
        <v>0</v>
      </c>
      <c r="C233" s="24">
        <f>AVERAGE(B214:B233)</f>
        <v>0</v>
      </c>
      <c r="D233" s="24">
        <f>AVERAGE(B184:B233)</f>
        <v>0</v>
      </c>
      <c r="E233" s="9">
        <f>IF(AND(C233&gt;D233,C232&lt;=D232),"COMPRA (cruce alcista)",IF(AND(C233&lt;D233,C232&gt;=D232),"VENTA (cruce bajista)",""))</f>
        <v>0</v>
      </c>
      <c r="F233" s="24">
        <f>MAX(B233-B232,0)</f>
        <v>0</v>
      </c>
      <c r="G233" s="24">
        <f>MAX(B232-B233,0)</f>
        <v>0</v>
      </c>
      <c r="H233" s="26">
        <f>IF(SUM(G220:G233)=0,100,100-100/(1+AVERAGE(F220:F233)/AVERAGE(G220:G233)))</f>
        <v>0</v>
      </c>
      <c r="I233" s="24">
        <f>C233+2*_xlfn.STDEV.S(B214:B233)</f>
        <v>0</v>
      </c>
      <c r="J233" s="24">
        <f>C233-2*_xlfn.STDEV.S(B214:B233)</f>
        <v>0</v>
      </c>
    </row>
    <row r="234" spans="1:10">
      <c r="A234" s="12">
        <f>'1_Precios'!A232</f>
        <v>0</v>
      </c>
      <c r="B234" s="24">
        <f>INDEX('1_Precios'!$B$232:$F$232,MATCH($B$1,'1_Precios'!$B$1:$F$1,0))</f>
        <v>0</v>
      </c>
      <c r="C234" s="24">
        <f>AVERAGE(B215:B234)</f>
        <v>0</v>
      </c>
      <c r="D234" s="24">
        <f>AVERAGE(B185:B234)</f>
        <v>0</v>
      </c>
      <c r="E234" s="9">
        <f>IF(AND(C234&gt;D234,C233&lt;=D233),"COMPRA (cruce alcista)",IF(AND(C234&lt;D234,C233&gt;=D233),"VENTA (cruce bajista)",""))</f>
        <v>0</v>
      </c>
      <c r="F234" s="24">
        <f>MAX(B234-B233,0)</f>
        <v>0</v>
      </c>
      <c r="G234" s="24">
        <f>MAX(B233-B234,0)</f>
        <v>0</v>
      </c>
      <c r="H234" s="26">
        <f>IF(SUM(G221:G234)=0,100,100-100/(1+AVERAGE(F221:F234)/AVERAGE(G221:G234)))</f>
        <v>0</v>
      </c>
      <c r="I234" s="24">
        <f>C234+2*_xlfn.STDEV.S(B215:B234)</f>
        <v>0</v>
      </c>
      <c r="J234" s="24">
        <f>C234-2*_xlfn.STDEV.S(B215:B234)</f>
        <v>0</v>
      </c>
    </row>
    <row r="235" spans="1:10">
      <c r="A235" s="12">
        <f>'1_Precios'!A233</f>
        <v>0</v>
      </c>
      <c r="B235" s="24">
        <f>INDEX('1_Precios'!$B$233:$F$233,MATCH($B$1,'1_Precios'!$B$1:$F$1,0))</f>
        <v>0</v>
      </c>
      <c r="C235" s="24">
        <f>AVERAGE(B216:B235)</f>
        <v>0</v>
      </c>
      <c r="D235" s="24">
        <f>AVERAGE(B186:B235)</f>
        <v>0</v>
      </c>
      <c r="E235" s="9">
        <f>IF(AND(C235&gt;D235,C234&lt;=D234),"COMPRA (cruce alcista)",IF(AND(C235&lt;D235,C234&gt;=D234),"VENTA (cruce bajista)",""))</f>
        <v>0</v>
      </c>
      <c r="F235" s="24">
        <f>MAX(B235-B234,0)</f>
        <v>0</v>
      </c>
      <c r="G235" s="24">
        <f>MAX(B234-B235,0)</f>
        <v>0</v>
      </c>
      <c r="H235" s="26">
        <f>IF(SUM(G222:G235)=0,100,100-100/(1+AVERAGE(F222:F235)/AVERAGE(G222:G235)))</f>
        <v>0</v>
      </c>
      <c r="I235" s="24">
        <f>C235+2*_xlfn.STDEV.S(B216:B235)</f>
        <v>0</v>
      </c>
      <c r="J235" s="24">
        <f>C235-2*_xlfn.STDEV.S(B216:B235)</f>
        <v>0</v>
      </c>
    </row>
    <row r="236" spans="1:10">
      <c r="A236" s="12">
        <f>'1_Precios'!A234</f>
        <v>0</v>
      </c>
      <c r="B236" s="24">
        <f>INDEX('1_Precios'!$B$234:$F$234,MATCH($B$1,'1_Precios'!$B$1:$F$1,0))</f>
        <v>0</v>
      </c>
      <c r="C236" s="24">
        <f>AVERAGE(B217:B236)</f>
        <v>0</v>
      </c>
      <c r="D236" s="24">
        <f>AVERAGE(B187:B236)</f>
        <v>0</v>
      </c>
      <c r="E236" s="9">
        <f>IF(AND(C236&gt;D236,C235&lt;=D235),"COMPRA (cruce alcista)",IF(AND(C236&lt;D236,C235&gt;=D235),"VENTA (cruce bajista)",""))</f>
        <v>0</v>
      </c>
      <c r="F236" s="24">
        <f>MAX(B236-B235,0)</f>
        <v>0</v>
      </c>
      <c r="G236" s="24">
        <f>MAX(B235-B236,0)</f>
        <v>0</v>
      </c>
      <c r="H236" s="26">
        <f>IF(SUM(G223:G236)=0,100,100-100/(1+AVERAGE(F223:F236)/AVERAGE(G223:G236)))</f>
        <v>0</v>
      </c>
      <c r="I236" s="24">
        <f>C236+2*_xlfn.STDEV.S(B217:B236)</f>
        <v>0</v>
      </c>
      <c r="J236" s="24">
        <f>C236-2*_xlfn.STDEV.S(B217:B236)</f>
        <v>0</v>
      </c>
    </row>
    <row r="237" spans="1:10">
      <c r="A237" s="12">
        <f>'1_Precios'!A235</f>
        <v>0</v>
      </c>
      <c r="B237" s="24">
        <f>INDEX('1_Precios'!$B$235:$F$235,MATCH($B$1,'1_Precios'!$B$1:$F$1,0))</f>
        <v>0</v>
      </c>
      <c r="C237" s="24">
        <f>AVERAGE(B218:B237)</f>
        <v>0</v>
      </c>
      <c r="D237" s="24">
        <f>AVERAGE(B188:B237)</f>
        <v>0</v>
      </c>
      <c r="E237" s="9">
        <f>IF(AND(C237&gt;D237,C236&lt;=D236),"COMPRA (cruce alcista)",IF(AND(C237&lt;D237,C236&gt;=D236),"VENTA (cruce bajista)",""))</f>
        <v>0</v>
      </c>
      <c r="F237" s="24">
        <f>MAX(B237-B236,0)</f>
        <v>0</v>
      </c>
      <c r="G237" s="24">
        <f>MAX(B236-B237,0)</f>
        <v>0</v>
      </c>
      <c r="H237" s="26">
        <f>IF(SUM(G224:G237)=0,100,100-100/(1+AVERAGE(F224:F237)/AVERAGE(G224:G237)))</f>
        <v>0</v>
      </c>
      <c r="I237" s="24">
        <f>C237+2*_xlfn.STDEV.S(B218:B237)</f>
        <v>0</v>
      </c>
      <c r="J237" s="24">
        <f>C237-2*_xlfn.STDEV.S(B218:B237)</f>
        <v>0</v>
      </c>
    </row>
    <row r="238" spans="1:10">
      <c r="A238" s="12">
        <f>'1_Precios'!A236</f>
        <v>0</v>
      </c>
      <c r="B238" s="24">
        <f>INDEX('1_Precios'!$B$236:$F$236,MATCH($B$1,'1_Precios'!$B$1:$F$1,0))</f>
        <v>0</v>
      </c>
      <c r="C238" s="24">
        <f>AVERAGE(B219:B238)</f>
        <v>0</v>
      </c>
      <c r="D238" s="24">
        <f>AVERAGE(B189:B238)</f>
        <v>0</v>
      </c>
      <c r="E238" s="9">
        <f>IF(AND(C238&gt;D238,C237&lt;=D237),"COMPRA (cruce alcista)",IF(AND(C238&lt;D238,C237&gt;=D237),"VENTA (cruce bajista)",""))</f>
        <v>0</v>
      </c>
      <c r="F238" s="24">
        <f>MAX(B238-B237,0)</f>
        <v>0</v>
      </c>
      <c r="G238" s="24">
        <f>MAX(B237-B238,0)</f>
        <v>0</v>
      </c>
      <c r="H238" s="26">
        <f>IF(SUM(G225:G238)=0,100,100-100/(1+AVERAGE(F225:F238)/AVERAGE(G225:G238)))</f>
        <v>0</v>
      </c>
      <c r="I238" s="24">
        <f>C238+2*_xlfn.STDEV.S(B219:B238)</f>
        <v>0</v>
      </c>
      <c r="J238" s="24">
        <f>C238-2*_xlfn.STDEV.S(B219:B238)</f>
        <v>0</v>
      </c>
    </row>
    <row r="239" spans="1:10">
      <c r="A239" s="12">
        <f>'1_Precios'!A237</f>
        <v>0</v>
      </c>
      <c r="B239" s="24">
        <f>INDEX('1_Precios'!$B$237:$F$237,MATCH($B$1,'1_Precios'!$B$1:$F$1,0))</f>
        <v>0</v>
      </c>
      <c r="C239" s="24">
        <f>AVERAGE(B220:B239)</f>
        <v>0</v>
      </c>
      <c r="D239" s="24">
        <f>AVERAGE(B190:B239)</f>
        <v>0</v>
      </c>
      <c r="E239" s="9">
        <f>IF(AND(C239&gt;D239,C238&lt;=D238),"COMPRA (cruce alcista)",IF(AND(C239&lt;D239,C238&gt;=D238),"VENTA (cruce bajista)",""))</f>
        <v>0</v>
      </c>
      <c r="F239" s="24">
        <f>MAX(B239-B238,0)</f>
        <v>0</v>
      </c>
      <c r="G239" s="24">
        <f>MAX(B238-B239,0)</f>
        <v>0</v>
      </c>
      <c r="H239" s="26">
        <f>IF(SUM(G226:G239)=0,100,100-100/(1+AVERAGE(F226:F239)/AVERAGE(G226:G239)))</f>
        <v>0</v>
      </c>
      <c r="I239" s="24">
        <f>C239+2*_xlfn.STDEV.S(B220:B239)</f>
        <v>0</v>
      </c>
      <c r="J239" s="24">
        <f>C239-2*_xlfn.STDEV.S(B220:B239)</f>
        <v>0</v>
      </c>
    </row>
    <row r="240" spans="1:10">
      <c r="A240" s="12">
        <f>'1_Precios'!A238</f>
        <v>0</v>
      </c>
      <c r="B240" s="24">
        <f>INDEX('1_Precios'!$B$238:$F$238,MATCH($B$1,'1_Precios'!$B$1:$F$1,0))</f>
        <v>0</v>
      </c>
      <c r="C240" s="24">
        <f>AVERAGE(B221:B240)</f>
        <v>0</v>
      </c>
      <c r="D240" s="24">
        <f>AVERAGE(B191:B240)</f>
        <v>0</v>
      </c>
      <c r="E240" s="9">
        <f>IF(AND(C240&gt;D240,C239&lt;=D239),"COMPRA (cruce alcista)",IF(AND(C240&lt;D240,C239&gt;=D239),"VENTA (cruce bajista)",""))</f>
        <v>0</v>
      </c>
      <c r="F240" s="24">
        <f>MAX(B240-B239,0)</f>
        <v>0</v>
      </c>
      <c r="G240" s="24">
        <f>MAX(B239-B240,0)</f>
        <v>0</v>
      </c>
      <c r="H240" s="26">
        <f>IF(SUM(G227:G240)=0,100,100-100/(1+AVERAGE(F227:F240)/AVERAGE(G227:G240)))</f>
        <v>0</v>
      </c>
      <c r="I240" s="24">
        <f>C240+2*_xlfn.STDEV.S(B221:B240)</f>
        <v>0</v>
      </c>
      <c r="J240" s="24">
        <f>C240-2*_xlfn.STDEV.S(B221:B240)</f>
        <v>0</v>
      </c>
    </row>
    <row r="241" spans="1:10">
      <c r="A241" s="12">
        <f>'1_Precios'!A239</f>
        <v>0</v>
      </c>
      <c r="B241" s="24">
        <f>INDEX('1_Precios'!$B$239:$F$239,MATCH($B$1,'1_Precios'!$B$1:$F$1,0))</f>
        <v>0</v>
      </c>
      <c r="C241" s="24">
        <f>AVERAGE(B222:B241)</f>
        <v>0</v>
      </c>
      <c r="D241" s="24">
        <f>AVERAGE(B192:B241)</f>
        <v>0</v>
      </c>
      <c r="E241" s="9">
        <f>IF(AND(C241&gt;D241,C240&lt;=D240),"COMPRA (cruce alcista)",IF(AND(C241&lt;D241,C240&gt;=D240),"VENTA (cruce bajista)",""))</f>
        <v>0</v>
      </c>
      <c r="F241" s="24">
        <f>MAX(B241-B240,0)</f>
        <v>0</v>
      </c>
      <c r="G241" s="24">
        <f>MAX(B240-B241,0)</f>
        <v>0</v>
      </c>
      <c r="H241" s="26">
        <f>IF(SUM(G228:G241)=0,100,100-100/(1+AVERAGE(F228:F241)/AVERAGE(G228:G241)))</f>
        <v>0</v>
      </c>
      <c r="I241" s="24">
        <f>C241+2*_xlfn.STDEV.S(B222:B241)</f>
        <v>0</v>
      </c>
      <c r="J241" s="24">
        <f>C241-2*_xlfn.STDEV.S(B222:B241)</f>
        <v>0</v>
      </c>
    </row>
    <row r="242" spans="1:10">
      <c r="A242" s="12">
        <f>'1_Precios'!A240</f>
        <v>0</v>
      </c>
      <c r="B242" s="24">
        <f>INDEX('1_Precios'!$B$240:$F$240,MATCH($B$1,'1_Precios'!$B$1:$F$1,0))</f>
        <v>0</v>
      </c>
      <c r="C242" s="24">
        <f>AVERAGE(B223:B242)</f>
        <v>0</v>
      </c>
      <c r="D242" s="24">
        <f>AVERAGE(B193:B242)</f>
        <v>0</v>
      </c>
      <c r="E242" s="9">
        <f>IF(AND(C242&gt;D242,C241&lt;=D241),"COMPRA (cruce alcista)",IF(AND(C242&lt;D242,C241&gt;=D241),"VENTA (cruce bajista)",""))</f>
        <v>0</v>
      </c>
      <c r="F242" s="24">
        <f>MAX(B242-B241,0)</f>
        <v>0</v>
      </c>
      <c r="G242" s="24">
        <f>MAX(B241-B242,0)</f>
        <v>0</v>
      </c>
      <c r="H242" s="26">
        <f>IF(SUM(G229:G242)=0,100,100-100/(1+AVERAGE(F229:F242)/AVERAGE(G229:G242)))</f>
        <v>0</v>
      </c>
      <c r="I242" s="24">
        <f>C242+2*_xlfn.STDEV.S(B223:B242)</f>
        <v>0</v>
      </c>
      <c r="J242" s="24">
        <f>C242-2*_xlfn.STDEV.S(B223:B242)</f>
        <v>0</v>
      </c>
    </row>
    <row r="243" spans="1:10">
      <c r="A243" s="12">
        <f>'1_Precios'!A241</f>
        <v>0</v>
      </c>
      <c r="B243" s="24">
        <f>INDEX('1_Precios'!$B$241:$F$241,MATCH($B$1,'1_Precios'!$B$1:$F$1,0))</f>
        <v>0</v>
      </c>
      <c r="C243" s="24">
        <f>AVERAGE(B224:B243)</f>
        <v>0</v>
      </c>
      <c r="D243" s="24">
        <f>AVERAGE(B194:B243)</f>
        <v>0</v>
      </c>
      <c r="E243" s="9">
        <f>IF(AND(C243&gt;D243,C242&lt;=D242),"COMPRA (cruce alcista)",IF(AND(C243&lt;D243,C242&gt;=D242),"VENTA (cruce bajista)",""))</f>
        <v>0</v>
      </c>
      <c r="F243" s="24">
        <f>MAX(B243-B242,0)</f>
        <v>0</v>
      </c>
      <c r="G243" s="24">
        <f>MAX(B242-B243,0)</f>
        <v>0</v>
      </c>
      <c r="H243" s="26">
        <f>IF(SUM(G230:G243)=0,100,100-100/(1+AVERAGE(F230:F243)/AVERAGE(G230:G243)))</f>
        <v>0</v>
      </c>
      <c r="I243" s="24">
        <f>C243+2*_xlfn.STDEV.S(B224:B243)</f>
        <v>0</v>
      </c>
      <c r="J243" s="24">
        <f>C243-2*_xlfn.STDEV.S(B224:B243)</f>
        <v>0</v>
      </c>
    </row>
    <row r="244" spans="1:10">
      <c r="A244" s="12">
        <f>'1_Precios'!A242</f>
        <v>0</v>
      </c>
      <c r="B244" s="24">
        <f>INDEX('1_Precios'!$B$242:$F$242,MATCH($B$1,'1_Precios'!$B$1:$F$1,0))</f>
        <v>0</v>
      </c>
      <c r="C244" s="24">
        <f>AVERAGE(B225:B244)</f>
        <v>0</v>
      </c>
      <c r="D244" s="24">
        <f>AVERAGE(B195:B244)</f>
        <v>0</v>
      </c>
      <c r="E244" s="9">
        <f>IF(AND(C244&gt;D244,C243&lt;=D243),"COMPRA (cruce alcista)",IF(AND(C244&lt;D244,C243&gt;=D243),"VENTA (cruce bajista)",""))</f>
        <v>0</v>
      </c>
      <c r="F244" s="24">
        <f>MAX(B244-B243,0)</f>
        <v>0</v>
      </c>
      <c r="G244" s="24">
        <f>MAX(B243-B244,0)</f>
        <v>0</v>
      </c>
      <c r="H244" s="26">
        <f>IF(SUM(G231:G244)=0,100,100-100/(1+AVERAGE(F231:F244)/AVERAGE(G231:G244)))</f>
        <v>0</v>
      </c>
      <c r="I244" s="24">
        <f>C244+2*_xlfn.STDEV.S(B225:B244)</f>
        <v>0</v>
      </c>
      <c r="J244" s="24">
        <f>C244-2*_xlfn.STDEV.S(B225:B244)</f>
        <v>0</v>
      </c>
    </row>
    <row r="245" spans="1:10">
      <c r="A245" s="12">
        <f>'1_Precios'!A243</f>
        <v>0</v>
      </c>
      <c r="B245" s="24">
        <f>INDEX('1_Precios'!$B$243:$F$243,MATCH($B$1,'1_Precios'!$B$1:$F$1,0))</f>
        <v>0</v>
      </c>
      <c r="C245" s="24">
        <f>AVERAGE(B226:B245)</f>
        <v>0</v>
      </c>
      <c r="D245" s="24">
        <f>AVERAGE(B196:B245)</f>
        <v>0</v>
      </c>
      <c r="E245" s="9">
        <f>IF(AND(C245&gt;D245,C244&lt;=D244),"COMPRA (cruce alcista)",IF(AND(C245&lt;D245,C244&gt;=D244),"VENTA (cruce bajista)",""))</f>
        <v>0</v>
      </c>
      <c r="F245" s="24">
        <f>MAX(B245-B244,0)</f>
        <v>0</v>
      </c>
      <c r="G245" s="24">
        <f>MAX(B244-B245,0)</f>
        <v>0</v>
      </c>
      <c r="H245" s="26">
        <f>IF(SUM(G232:G245)=0,100,100-100/(1+AVERAGE(F232:F245)/AVERAGE(G232:G245)))</f>
        <v>0</v>
      </c>
      <c r="I245" s="24">
        <f>C245+2*_xlfn.STDEV.S(B226:B245)</f>
        <v>0</v>
      </c>
      <c r="J245" s="24">
        <f>C245-2*_xlfn.STDEV.S(B226:B245)</f>
        <v>0</v>
      </c>
    </row>
    <row r="246" spans="1:10">
      <c r="A246" s="12">
        <f>'1_Precios'!A244</f>
        <v>0</v>
      </c>
      <c r="B246" s="24">
        <f>INDEX('1_Precios'!$B$244:$F$244,MATCH($B$1,'1_Precios'!$B$1:$F$1,0))</f>
        <v>0</v>
      </c>
      <c r="C246" s="24">
        <f>AVERAGE(B227:B246)</f>
        <v>0</v>
      </c>
      <c r="D246" s="24">
        <f>AVERAGE(B197:B246)</f>
        <v>0</v>
      </c>
      <c r="E246" s="9">
        <f>IF(AND(C246&gt;D246,C245&lt;=D245),"COMPRA (cruce alcista)",IF(AND(C246&lt;D246,C245&gt;=D245),"VENTA (cruce bajista)",""))</f>
        <v>0</v>
      </c>
      <c r="F246" s="24">
        <f>MAX(B246-B245,0)</f>
        <v>0</v>
      </c>
      <c r="G246" s="24">
        <f>MAX(B245-B246,0)</f>
        <v>0</v>
      </c>
      <c r="H246" s="26">
        <f>IF(SUM(G233:G246)=0,100,100-100/(1+AVERAGE(F233:F246)/AVERAGE(G233:G246)))</f>
        <v>0</v>
      </c>
      <c r="I246" s="24">
        <f>C246+2*_xlfn.STDEV.S(B227:B246)</f>
        <v>0</v>
      </c>
      <c r="J246" s="24">
        <f>C246-2*_xlfn.STDEV.S(B227:B246)</f>
        <v>0</v>
      </c>
    </row>
    <row r="247" spans="1:10">
      <c r="A247" s="12">
        <f>'1_Precios'!A245</f>
        <v>0</v>
      </c>
      <c r="B247" s="24">
        <f>INDEX('1_Precios'!$B$245:$F$245,MATCH($B$1,'1_Precios'!$B$1:$F$1,0))</f>
        <v>0</v>
      </c>
      <c r="C247" s="24">
        <f>AVERAGE(B228:B247)</f>
        <v>0</v>
      </c>
      <c r="D247" s="24">
        <f>AVERAGE(B198:B247)</f>
        <v>0</v>
      </c>
      <c r="E247" s="9">
        <f>IF(AND(C247&gt;D247,C246&lt;=D246),"COMPRA (cruce alcista)",IF(AND(C247&lt;D247,C246&gt;=D246),"VENTA (cruce bajista)",""))</f>
        <v>0</v>
      </c>
      <c r="F247" s="24">
        <f>MAX(B247-B246,0)</f>
        <v>0</v>
      </c>
      <c r="G247" s="24">
        <f>MAX(B246-B247,0)</f>
        <v>0</v>
      </c>
      <c r="H247" s="26">
        <f>IF(SUM(G234:G247)=0,100,100-100/(1+AVERAGE(F234:F247)/AVERAGE(G234:G247)))</f>
        <v>0</v>
      </c>
      <c r="I247" s="24">
        <f>C247+2*_xlfn.STDEV.S(B228:B247)</f>
        <v>0</v>
      </c>
      <c r="J247" s="24">
        <f>C247-2*_xlfn.STDEV.S(B228:B247)</f>
        <v>0</v>
      </c>
    </row>
    <row r="248" spans="1:10">
      <c r="A248" s="12">
        <f>'1_Precios'!A246</f>
        <v>0</v>
      </c>
      <c r="B248" s="24">
        <f>INDEX('1_Precios'!$B$246:$F$246,MATCH($B$1,'1_Precios'!$B$1:$F$1,0))</f>
        <v>0</v>
      </c>
      <c r="C248" s="24">
        <f>AVERAGE(B229:B248)</f>
        <v>0</v>
      </c>
      <c r="D248" s="24">
        <f>AVERAGE(B199:B248)</f>
        <v>0</v>
      </c>
      <c r="E248" s="9">
        <f>IF(AND(C248&gt;D248,C247&lt;=D247),"COMPRA (cruce alcista)",IF(AND(C248&lt;D248,C247&gt;=D247),"VENTA (cruce bajista)",""))</f>
        <v>0</v>
      </c>
      <c r="F248" s="24">
        <f>MAX(B248-B247,0)</f>
        <v>0</v>
      </c>
      <c r="G248" s="24">
        <f>MAX(B247-B248,0)</f>
        <v>0</v>
      </c>
      <c r="H248" s="26">
        <f>IF(SUM(G235:G248)=0,100,100-100/(1+AVERAGE(F235:F248)/AVERAGE(G235:G248)))</f>
        <v>0</v>
      </c>
      <c r="I248" s="24">
        <f>C248+2*_xlfn.STDEV.S(B229:B248)</f>
        <v>0</v>
      </c>
      <c r="J248" s="24">
        <f>C248-2*_xlfn.STDEV.S(B229:B248)</f>
        <v>0</v>
      </c>
    </row>
    <row r="249" spans="1:10">
      <c r="A249" s="12">
        <f>'1_Precios'!A247</f>
        <v>0</v>
      </c>
      <c r="B249" s="24">
        <f>INDEX('1_Precios'!$B$247:$F$247,MATCH($B$1,'1_Precios'!$B$1:$F$1,0))</f>
        <v>0</v>
      </c>
      <c r="C249" s="24">
        <f>AVERAGE(B230:B249)</f>
        <v>0</v>
      </c>
      <c r="D249" s="24">
        <f>AVERAGE(B200:B249)</f>
        <v>0</v>
      </c>
      <c r="E249" s="9">
        <f>IF(AND(C249&gt;D249,C248&lt;=D248),"COMPRA (cruce alcista)",IF(AND(C249&lt;D249,C248&gt;=D248),"VENTA (cruce bajista)",""))</f>
        <v>0</v>
      </c>
      <c r="F249" s="24">
        <f>MAX(B249-B248,0)</f>
        <v>0</v>
      </c>
      <c r="G249" s="24">
        <f>MAX(B248-B249,0)</f>
        <v>0</v>
      </c>
      <c r="H249" s="26">
        <f>IF(SUM(G236:G249)=0,100,100-100/(1+AVERAGE(F236:F249)/AVERAGE(G236:G249)))</f>
        <v>0</v>
      </c>
      <c r="I249" s="24">
        <f>C249+2*_xlfn.STDEV.S(B230:B249)</f>
        <v>0</v>
      </c>
      <c r="J249" s="24">
        <f>C249-2*_xlfn.STDEV.S(B230:B249)</f>
        <v>0</v>
      </c>
    </row>
    <row r="250" spans="1:10">
      <c r="A250" s="12">
        <f>'1_Precios'!A248</f>
        <v>0</v>
      </c>
      <c r="B250" s="24">
        <f>INDEX('1_Precios'!$B$248:$F$248,MATCH($B$1,'1_Precios'!$B$1:$F$1,0))</f>
        <v>0</v>
      </c>
      <c r="C250" s="24">
        <f>AVERAGE(B231:B250)</f>
        <v>0</v>
      </c>
      <c r="D250" s="24">
        <f>AVERAGE(B201:B250)</f>
        <v>0</v>
      </c>
      <c r="E250" s="9">
        <f>IF(AND(C250&gt;D250,C249&lt;=D249),"COMPRA (cruce alcista)",IF(AND(C250&lt;D250,C249&gt;=D249),"VENTA (cruce bajista)",""))</f>
        <v>0</v>
      </c>
      <c r="F250" s="24">
        <f>MAX(B250-B249,0)</f>
        <v>0</v>
      </c>
      <c r="G250" s="24">
        <f>MAX(B249-B250,0)</f>
        <v>0</v>
      </c>
      <c r="H250" s="26">
        <f>IF(SUM(G237:G250)=0,100,100-100/(1+AVERAGE(F237:F250)/AVERAGE(G237:G250)))</f>
        <v>0</v>
      </c>
      <c r="I250" s="24">
        <f>C250+2*_xlfn.STDEV.S(B231:B250)</f>
        <v>0</v>
      </c>
      <c r="J250" s="24">
        <f>C250-2*_xlfn.STDEV.S(B231:B250)</f>
        <v>0</v>
      </c>
    </row>
    <row r="251" spans="1:10">
      <c r="A251" s="12">
        <f>'1_Precios'!A249</f>
        <v>0</v>
      </c>
      <c r="B251" s="24">
        <f>INDEX('1_Precios'!$B$249:$F$249,MATCH($B$1,'1_Precios'!$B$1:$F$1,0))</f>
        <v>0</v>
      </c>
      <c r="C251" s="24">
        <f>AVERAGE(B232:B251)</f>
        <v>0</v>
      </c>
      <c r="D251" s="24">
        <f>AVERAGE(B202:B251)</f>
        <v>0</v>
      </c>
      <c r="E251" s="9">
        <f>IF(AND(C251&gt;D251,C250&lt;=D250),"COMPRA (cruce alcista)",IF(AND(C251&lt;D251,C250&gt;=D250),"VENTA (cruce bajista)",""))</f>
        <v>0</v>
      </c>
      <c r="F251" s="24">
        <f>MAX(B251-B250,0)</f>
        <v>0</v>
      </c>
      <c r="G251" s="24">
        <f>MAX(B250-B251,0)</f>
        <v>0</v>
      </c>
      <c r="H251" s="26">
        <f>IF(SUM(G238:G251)=0,100,100-100/(1+AVERAGE(F238:F251)/AVERAGE(G238:G251)))</f>
        <v>0</v>
      </c>
      <c r="I251" s="24">
        <f>C251+2*_xlfn.STDEV.S(B232:B251)</f>
        <v>0</v>
      </c>
      <c r="J251" s="24">
        <f>C251-2*_xlfn.STDEV.S(B232:B251)</f>
        <v>0</v>
      </c>
    </row>
    <row r="252" spans="1:10">
      <c r="A252" s="12">
        <f>'1_Precios'!A250</f>
        <v>0</v>
      </c>
      <c r="B252" s="24">
        <f>INDEX('1_Precios'!$B$250:$F$250,MATCH($B$1,'1_Precios'!$B$1:$F$1,0))</f>
        <v>0</v>
      </c>
      <c r="C252" s="24">
        <f>AVERAGE(B233:B252)</f>
        <v>0</v>
      </c>
      <c r="D252" s="24">
        <f>AVERAGE(B203:B252)</f>
        <v>0</v>
      </c>
      <c r="E252" s="9">
        <f>IF(AND(C252&gt;D252,C251&lt;=D251),"COMPRA (cruce alcista)",IF(AND(C252&lt;D252,C251&gt;=D251),"VENTA (cruce bajista)",""))</f>
        <v>0</v>
      </c>
      <c r="F252" s="24">
        <f>MAX(B252-B251,0)</f>
        <v>0</v>
      </c>
      <c r="G252" s="24">
        <f>MAX(B251-B252,0)</f>
        <v>0</v>
      </c>
      <c r="H252" s="26">
        <f>IF(SUM(G239:G252)=0,100,100-100/(1+AVERAGE(F239:F252)/AVERAGE(G239:G252)))</f>
        <v>0</v>
      </c>
      <c r="I252" s="24">
        <f>C252+2*_xlfn.STDEV.S(B233:B252)</f>
        <v>0</v>
      </c>
      <c r="J252" s="24">
        <f>C252-2*_xlfn.STDEV.S(B233:B252)</f>
        <v>0</v>
      </c>
    </row>
    <row r="253" spans="1:10">
      <c r="A253" s="12">
        <f>'1_Precios'!A251</f>
        <v>0</v>
      </c>
      <c r="B253" s="24">
        <f>INDEX('1_Precios'!$B$251:$F$251,MATCH($B$1,'1_Precios'!$B$1:$F$1,0))</f>
        <v>0</v>
      </c>
      <c r="C253" s="24">
        <f>AVERAGE(B234:B253)</f>
        <v>0</v>
      </c>
      <c r="D253" s="24">
        <f>AVERAGE(B204:B253)</f>
        <v>0</v>
      </c>
      <c r="E253" s="9">
        <f>IF(AND(C253&gt;D253,C252&lt;=D252),"COMPRA (cruce alcista)",IF(AND(C253&lt;D253,C252&gt;=D252),"VENTA (cruce bajista)",""))</f>
        <v>0</v>
      </c>
      <c r="F253" s="24">
        <f>MAX(B253-B252,0)</f>
        <v>0</v>
      </c>
      <c r="G253" s="24">
        <f>MAX(B252-B253,0)</f>
        <v>0</v>
      </c>
      <c r="H253" s="26">
        <f>IF(SUM(G240:G253)=0,100,100-100/(1+AVERAGE(F240:F253)/AVERAGE(G240:G253)))</f>
        <v>0</v>
      </c>
      <c r="I253" s="24">
        <f>C253+2*_xlfn.STDEV.S(B234:B253)</f>
        <v>0</v>
      </c>
      <c r="J253" s="24">
        <f>C253-2*_xlfn.STDEV.S(B234:B253)</f>
        <v>0</v>
      </c>
    </row>
    <row r="254" spans="1:10">
      <c r="A254" s="12">
        <f>'1_Precios'!A252</f>
        <v>0</v>
      </c>
      <c r="B254" s="24">
        <f>INDEX('1_Precios'!$B$252:$F$252,MATCH($B$1,'1_Precios'!$B$1:$F$1,0))</f>
        <v>0</v>
      </c>
      <c r="C254" s="24">
        <f>AVERAGE(B235:B254)</f>
        <v>0</v>
      </c>
      <c r="D254" s="24">
        <f>AVERAGE(B205:B254)</f>
        <v>0</v>
      </c>
      <c r="E254" s="9">
        <f>IF(AND(C254&gt;D254,C253&lt;=D253),"COMPRA (cruce alcista)",IF(AND(C254&lt;D254,C253&gt;=D253),"VENTA (cruce bajista)",""))</f>
        <v>0</v>
      </c>
      <c r="F254" s="24">
        <f>MAX(B254-B253,0)</f>
        <v>0</v>
      </c>
      <c r="G254" s="24">
        <f>MAX(B253-B254,0)</f>
        <v>0</v>
      </c>
      <c r="H254" s="26">
        <f>IF(SUM(G241:G254)=0,100,100-100/(1+AVERAGE(F241:F254)/AVERAGE(G241:G254)))</f>
        <v>0</v>
      </c>
      <c r="I254" s="24">
        <f>C254+2*_xlfn.STDEV.S(B235:B254)</f>
        <v>0</v>
      </c>
      <c r="J254" s="24">
        <f>C254-2*_xlfn.STDEV.S(B235:B254)</f>
        <v>0</v>
      </c>
    </row>
    <row r="255" spans="1:10">
      <c r="A255" s="12">
        <f>'1_Precios'!A253</f>
        <v>0</v>
      </c>
      <c r="B255" s="24">
        <f>INDEX('1_Precios'!$B$253:$F$253,MATCH($B$1,'1_Precios'!$B$1:$F$1,0))</f>
        <v>0</v>
      </c>
      <c r="C255" s="24">
        <f>AVERAGE(B236:B255)</f>
        <v>0</v>
      </c>
      <c r="D255" s="24">
        <f>AVERAGE(B206:B255)</f>
        <v>0</v>
      </c>
      <c r="E255" s="9">
        <f>IF(AND(C255&gt;D255,C254&lt;=D254),"COMPRA (cruce alcista)",IF(AND(C255&lt;D255,C254&gt;=D254),"VENTA (cruce bajista)",""))</f>
        <v>0</v>
      </c>
      <c r="F255" s="24">
        <f>MAX(B255-B254,0)</f>
        <v>0</v>
      </c>
      <c r="G255" s="24">
        <f>MAX(B254-B255,0)</f>
        <v>0</v>
      </c>
      <c r="H255" s="26">
        <f>IF(SUM(G242:G255)=0,100,100-100/(1+AVERAGE(F242:F255)/AVERAGE(G242:G255)))</f>
        <v>0</v>
      </c>
      <c r="I255" s="24">
        <f>C255+2*_xlfn.STDEV.S(B236:B255)</f>
        <v>0</v>
      </c>
      <c r="J255" s="24">
        <f>C255-2*_xlfn.STDEV.S(B236:B255)</f>
        <v>0</v>
      </c>
    </row>
  </sheetData>
  <conditionalFormatting sqref="H4:H255">
    <cfRule type="cellIs" dxfId="0" priority="1" operator="greaterThan">
      <formula>70</formula>
    </cfRule>
    <cfRule type="cellIs" dxfId="1" priority="2" operator="lessThan">
      <formula>30</formula>
    </cfRule>
  </conditionalFormatting>
  <dataValidations count="1">
    <dataValidation type="list" allowBlank="1" showInputMessage="1" showErrorMessage="1" sqref="B1">
      <formula1>'1_Precios'!$B$1:$F$1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53"/>
  <sheetViews>
    <sheetView workbookViewId="0"/>
  </sheetViews>
  <sheetFormatPr defaultRowHeight="15"/>
  <cols>
    <col min="1" max="1" width="12.7109375" customWidth="1"/>
    <col min="2" max="8" width="11.7109375" customWidth="1"/>
    <col min="9" max="9" width="14.7109375" customWidth="1"/>
    <col min="10" max="13" width="11.7109375" customWidth="1"/>
  </cols>
  <sheetData>
    <row r="1" spans="1:10">
      <c r="A1" s="7" t="s">
        <v>44</v>
      </c>
      <c r="B1" s="7" t="s">
        <v>153</v>
      </c>
      <c r="C1" s="7" t="s">
        <v>154</v>
      </c>
      <c r="D1" s="7" t="s">
        <v>155</v>
      </c>
      <c r="E1" s="7" t="s">
        <v>156</v>
      </c>
      <c r="F1" s="7" t="s">
        <v>157</v>
      </c>
      <c r="G1" s="7" t="s">
        <v>158</v>
      </c>
      <c r="I1" s="7" t="s">
        <v>159</v>
      </c>
      <c r="J1" s="7"/>
    </row>
    <row r="2" spans="1:10">
      <c r="A2" s="12">
        <f>'1_Precios'!A2</f>
        <v>0</v>
      </c>
      <c r="B2" s="13">
        <f>'1_Precios'!B2/MAX('1_Precios'!B$2:B2)-1</f>
        <v>0</v>
      </c>
      <c r="C2" s="13">
        <f>'1_Precios'!C2/MAX('1_Precios'!C$2:C2)-1</f>
        <v>0</v>
      </c>
      <c r="D2" s="13">
        <f>'1_Precios'!D2/MAX('1_Precios'!D$2:D2)-1</f>
        <v>0</v>
      </c>
      <c r="E2" s="13">
        <f>'1_Precios'!E2/MAX('1_Precios'!E$2:E2)-1</f>
        <v>0</v>
      </c>
      <c r="F2" s="13">
        <f>'1_Precios'!F2/MAX('1_Precios'!F$2:F2)-1</f>
        <v>0</v>
      </c>
      <c r="G2" s="13">
        <f>'1_Precios'!G2/MAX('1_Precios'!G$2:G2)-1</f>
        <v>0</v>
      </c>
      <c r="I2" s="14" t="s">
        <v>45</v>
      </c>
      <c r="J2" s="18">
        <f>MIN(B2:B253)</f>
        <v>0</v>
      </c>
    </row>
    <row r="3" spans="1:10">
      <c r="A3" s="12">
        <f>'1_Precios'!A3</f>
        <v>0</v>
      </c>
      <c r="B3" s="13">
        <f>'1_Precios'!B3/MAX('1_Precios'!B$2:B3)-1</f>
        <v>0</v>
      </c>
      <c r="C3" s="13">
        <f>'1_Precios'!C3/MAX('1_Precios'!C$2:C3)-1</f>
        <v>0</v>
      </c>
      <c r="D3" s="13">
        <f>'1_Precios'!D3/MAX('1_Precios'!D$2:D3)-1</f>
        <v>0</v>
      </c>
      <c r="E3" s="13">
        <f>'1_Precios'!E3/MAX('1_Precios'!E$2:E3)-1</f>
        <v>0</v>
      </c>
      <c r="F3" s="13">
        <f>'1_Precios'!F3/MAX('1_Precios'!F$2:F3)-1</f>
        <v>0</v>
      </c>
      <c r="G3" s="13">
        <f>'1_Precios'!G3/MAX('1_Precios'!G$2:G3)-1</f>
        <v>0</v>
      </c>
      <c r="I3" s="14" t="s">
        <v>46</v>
      </c>
      <c r="J3" s="18">
        <f>MIN(C2:C253)</f>
        <v>0</v>
      </c>
    </row>
    <row r="4" spans="1:10">
      <c r="A4" s="12">
        <f>'1_Precios'!A4</f>
        <v>0</v>
      </c>
      <c r="B4" s="13">
        <f>'1_Precios'!B4/MAX('1_Precios'!B$2:B4)-1</f>
        <v>0</v>
      </c>
      <c r="C4" s="13">
        <f>'1_Precios'!C4/MAX('1_Precios'!C$2:C4)-1</f>
        <v>0</v>
      </c>
      <c r="D4" s="13">
        <f>'1_Precios'!D4/MAX('1_Precios'!D$2:D4)-1</f>
        <v>0</v>
      </c>
      <c r="E4" s="13">
        <f>'1_Precios'!E4/MAX('1_Precios'!E$2:E4)-1</f>
        <v>0</v>
      </c>
      <c r="F4" s="13">
        <f>'1_Precios'!F4/MAX('1_Precios'!F$2:F4)-1</f>
        <v>0</v>
      </c>
      <c r="G4" s="13">
        <f>'1_Precios'!G4/MAX('1_Precios'!G$2:G4)-1</f>
        <v>0</v>
      </c>
      <c r="I4" s="14" t="s">
        <v>47</v>
      </c>
      <c r="J4" s="18">
        <f>MIN(D2:D253)</f>
        <v>0</v>
      </c>
    </row>
    <row r="5" spans="1:10">
      <c r="A5" s="12">
        <f>'1_Precios'!A5</f>
        <v>0</v>
      </c>
      <c r="B5" s="13">
        <f>'1_Precios'!B5/MAX('1_Precios'!B$2:B5)-1</f>
        <v>0</v>
      </c>
      <c r="C5" s="13">
        <f>'1_Precios'!C5/MAX('1_Precios'!C$2:C5)-1</f>
        <v>0</v>
      </c>
      <c r="D5" s="13">
        <f>'1_Precios'!D5/MAX('1_Precios'!D$2:D5)-1</f>
        <v>0</v>
      </c>
      <c r="E5" s="13">
        <f>'1_Precios'!E5/MAX('1_Precios'!E$2:E5)-1</f>
        <v>0</v>
      </c>
      <c r="F5" s="13">
        <f>'1_Precios'!F5/MAX('1_Precios'!F$2:F5)-1</f>
        <v>0</v>
      </c>
      <c r="G5" s="13">
        <f>'1_Precios'!G5/MAX('1_Precios'!G$2:G5)-1</f>
        <v>0</v>
      </c>
      <c r="I5" s="14" t="s">
        <v>48</v>
      </c>
      <c r="J5" s="18">
        <f>MIN(E2:E253)</f>
        <v>0</v>
      </c>
    </row>
    <row r="6" spans="1:10">
      <c r="A6" s="12">
        <f>'1_Precios'!A6</f>
        <v>0</v>
      </c>
      <c r="B6" s="13">
        <f>'1_Precios'!B6/MAX('1_Precios'!B$2:B6)-1</f>
        <v>0</v>
      </c>
      <c r="C6" s="13">
        <f>'1_Precios'!C6/MAX('1_Precios'!C$2:C6)-1</f>
        <v>0</v>
      </c>
      <c r="D6" s="13">
        <f>'1_Precios'!D6/MAX('1_Precios'!D$2:D6)-1</f>
        <v>0</v>
      </c>
      <c r="E6" s="13">
        <f>'1_Precios'!E6/MAX('1_Precios'!E$2:E6)-1</f>
        <v>0</v>
      </c>
      <c r="F6" s="13">
        <f>'1_Precios'!F6/MAX('1_Precios'!F$2:F6)-1</f>
        <v>0</v>
      </c>
      <c r="G6" s="13">
        <f>'1_Precios'!G6/MAX('1_Precios'!G$2:G6)-1</f>
        <v>0</v>
      </c>
      <c r="I6" s="14" t="s">
        <v>49</v>
      </c>
      <c r="J6" s="18">
        <f>MIN(F2:F253)</f>
        <v>0</v>
      </c>
    </row>
    <row r="7" spans="1:10">
      <c r="A7" s="12">
        <f>'1_Precios'!A7</f>
        <v>0</v>
      </c>
      <c r="B7" s="13">
        <f>'1_Precios'!B7/MAX('1_Precios'!B$2:B7)-1</f>
        <v>0</v>
      </c>
      <c r="C7" s="13">
        <f>'1_Precios'!C7/MAX('1_Precios'!C$2:C7)-1</f>
        <v>0</v>
      </c>
      <c r="D7" s="13">
        <f>'1_Precios'!D7/MAX('1_Precios'!D$2:D7)-1</f>
        <v>0</v>
      </c>
      <c r="E7" s="13">
        <f>'1_Precios'!E7/MAX('1_Precios'!E$2:E7)-1</f>
        <v>0</v>
      </c>
      <c r="F7" s="13">
        <f>'1_Precios'!F7/MAX('1_Precios'!F$2:F7)-1</f>
        <v>0</v>
      </c>
      <c r="G7" s="13">
        <f>'1_Precios'!G7/MAX('1_Precios'!G$2:G7)-1</f>
        <v>0</v>
      </c>
      <c r="I7" s="14" t="s">
        <v>50</v>
      </c>
      <c r="J7" s="18">
        <f>MIN(G2:G253)</f>
        <v>0</v>
      </c>
    </row>
    <row r="8" spans="1:10">
      <c r="A8" s="12">
        <f>'1_Precios'!A8</f>
        <v>0</v>
      </c>
      <c r="B8" s="13">
        <f>'1_Precios'!B8/MAX('1_Precios'!B$2:B8)-1</f>
        <v>0</v>
      </c>
      <c r="C8" s="13">
        <f>'1_Precios'!C8/MAX('1_Precios'!C$2:C8)-1</f>
        <v>0</v>
      </c>
      <c r="D8" s="13">
        <f>'1_Precios'!D8/MAX('1_Precios'!D$2:D8)-1</f>
        <v>0</v>
      </c>
      <c r="E8" s="13">
        <f>'1_Precios'!E8/MAX('1_Precios'!E$2:E8)-1</f>
        <v>0</v>
      </c>
      <c r="F8" s="13">
        <f>'1_Precios'!F8/MAX('1_Precios'!F$2:F8)-1</f>
        <v>0</v>
      </c>
      <c r="G8" s="13">
        <f>'1_Precios'!G8/MAX('1_Precios'!G$2:G8)-1</f>
        <v>0</v>
      </c>
    </row>
    <row r="9" spans="1:10">
      <c r="A9" s="12">
        <f>'1_Precios'!A9</f>
        <v>0</v>
      </c>
      <c r="B9" s="13">
        <f>'1_Precios'!B9/MAX('1_Precios'!B$2:B9)-1</f>
        <v>0</v>
      </c>
      <c r="C9" s="13">
        <f>'1_Precios'!C9/MAX('1_Precios'!C$2:C9)-1</f>
        <v>0</v>
      </c>
      <c r="D9" s="13">
        <f>'1_Precios'!D9/MAX('1_Precios'!D$2:D9)-1</f>
        <v>0</v>
      </c>
      <c r="E9" s="13">
        <f>'1_Precios'!E9/MAX('1_Precios'!E$2:E9)-1</f>
        <v>0</v>
      </c>
      <c r="F9" s="13">
        <f>'1_Precios'!F9/MAX('1_Precios'!F$2:F9)-1</f>
        <v>0</v>
      </c>
      <c r="G9" s="13">
        <f>'1_Precios'!G9/MAX('1_Precios'!G$2:G9)-1</f>
        <v>0</v>
      </c>
      <c r="I9" s="16" t="s">
        <v>160</v>
      </c>
    </row>
    <row r="10" spans="1:10">
      <c r="A10" s="12">
        <f>'1_Precios'!A10</f>
        <v>0</v>
      </c>
      <c r="B10" s="13">
        <f>'1_Precios'!B10/MAX('1_Precios'!B$2:B10)-1</f>
        <v>0</v>
      </c>
      <c r="C10" s="13">
        <f>'1_Precios'!C10/MAX('1_Precios'!C$2:C10)-1</f>
        <v>0</v>
      </c>
      <c r="D10" s="13">
        <f>'1_Precios'!D10/MAX('1_Precios'!D$2:D10)-1</f>
        <v>0</v>
      </c>
      <c r="E10" s="13">
        <f>'1_Precios'!E10/MAX('1_Precios'!E$2:E10)-1</f>
        <v>0</v>
      </c>
      <c r="F10" s="13">
        <f>'1_Precios'!F10/MAX('1_Precios'!F$2:F10)-1</f>
        <v>0</v>
      </c>
      <c r="G10" s="13">
        <f>'1_Precios'!G10/MAX('1_Precios'!G$2:G10)-1</f>
        <v>0</v>
      </c>
    </row>
    <row r="11" spans="1:10">
      <c r="A11" s="12">
        <f>'1_Precios'!A11</f>
        <v>0</v>
      </c>
      <c r="B11" s="13">
        <f>'1_Precios'!B11/MAX('1_Precios'!B$2:B11)-1</f>
        <v>0</v>
      </c>
      <c r="C11" s="13">
        <f>'1_Precios'!C11/MAX('1_Precios'!C$2:C11)-1</f>
        <v>0</v>
      </c>
      <c r="D11" s="13">
        <f>'1_Precios'!D11/MAX('1_Precios'!D$2:D11)-1</f>
        <v>0</v>
      </c>
      <c r="E11" s="13">
        <f>'1_Precios'!E11/MAX('1_Precios'!E$2:E11)-1</f>
        <v>0</v>
      </c>
      <c r="F11" s="13">
        <f>'1_Precios'!F11/MAX('1_Precios'!F$2:F11)-1</f>
        <v>0</v>
      </c>
      <c r="G11" s="13">
        <f>'1_Precios'!G11/MAX('1_Precios'!G$2:G11)-1</f>
        <v>0</v>
      </c>
    </row>
    <row r="12" spans="1:10">
      <c r="A12" s="12">
        <f>'1_Precios'!A12</f>
        <v>0</v>
      </c>
      <c r="B12" s="13">
        <f>'1_Precios'!B12/MAX('1_Precios'!B$2:B12)-1</f>
        <v>0</v>
      </c>
      <c r="C12" s="13">
        <f>'1_Precios'!C12/MAX('1_Precios'!C$2:C12)-1</f>
        <v>0</v>
      </c>
      <c r="D12" s="13">
        <f>'1_Precios'!D12/MAX('1_Precios'!D$2:D12)-1</f>
        <v>0</v>
      </c>
      <c r="E12" s="13">
        <f>'1_Precios'!E12/MAX('1_Precios'!E$2:E12)-1</f>
        <v>0</v>
      </c>
      <c r="F12" s="13">
        <f>'1_Precios'!F12/MAX('1_Precios'!F$2:F12)-1</f>
        <v>0</v>
      </c>
      <c r="G12" s="13">
        <f>'1_Precios'!G12/MAX('1_Precios'!G$2:G12)-1</f>
        <v>0</v>
      </c>
    </row>
    <row r="13" spans="1:10">
      <c r="A13" s="12">
        <f>'1_Precios'!A13</f>
        <v>0</v>
      </c>
      <c r="B13" s="13">
        <f>'1_Precios'!B13/MAX('1_Precios'!B$2:B13)-1</f>
        <v>0</v>
      </c>
      <c r="C13" s="13">
        <f>'1_Precios'!C13/MAX('1_Precios'!C$2:C13)-1</f>
        <v>0</v>
      </c>
      <c r="D13" s="13">
        <f>'1_Precios'!D13/MAX('1_Precios'!D$2:D13)-1</f>
        <v>0</v>
      </c>
      <c r="E13" s="13">
        <f>'1_Precios'!E13/MAX('1_Precios'!E$2:E13)-1</f>
        <v>0</v>
      </c>
      <c r="F13" s="13">
        <f>'1_Precios'!F13/MAX('1_Precios'!F$2:F13)-1</f>
        <v>0</v>
      </c>
      <c r="G13" s="13">
        <f>'1_Precios'!G13/MAX('1_Precios'!G$2:G13)-1</f>
        <v>0</v>
      </c>
    </row>
    <row r="14" spans="1:10">
      <c r="A14" s="12">
        <f>'1_Precios'!A14</f>
        <v>0</v>
      </c>
      <c r="B14" s="13">
        <f>'1_Precios'!B14/MAX('1_Precios'!B$2:B14)-1</f>
        <v>0</v>
      </c>
      <c r="C14" s="13">
        <f>'1_Precios'!C14/MAX('1_Precios'!C$2:C14)-1</f>
        <v>0</v>
      </c>
      <c r="D14" s="13">
        <f>'1_Precios'!D14/MAX('1_Precios'!D$2:D14)-1</f>
        <v>0</v>
      </c>
      <c r="E14" s="13">
        <f>'1_Precios'!E14/MAX('1_Precios'!E$2:E14)-1</f>
        <v>0</v>
      </c>
      <c r="F14" s="13">
        <f>'1_Precios'!F14/MAX('1_Precios'!F$2:F14)-1</f>
        <v>0</v>
      </c>
      <c r="G14" s="13">
        <f>'1_Precios'!G14/MAX('1_Precios'!G$2:G14)-1</f>
        <v>0</v>
      </c>
    </row>
    <row r="15" spans="1:10">
      <c r="A15" s="12">
        <f>'1_Precios'!A15</f>
        <v>0</v>
      </c>
      <c r="B15" s="13">
        <f>'1_Precios'!B15/MAX('1_Precios'!B$2:B15)-1</f>
        <v>0</v>
      </c>
      <c r="C15" s="13">
        <f>'1_Precios'!C15/MAX('1_Precios'!C$2:C15)-1</f>
        <v>0</v>
      </c>
      <c r="D15" s="13">
        <f>'1_Precios'!D15/MAX('1_Precios'!D$2:D15)-1</f>
        <v>0</v>
      </c>
      <c r="E15" s="13">
        <f>'1_Precios'!E15/MAX('1_Precios'!E$2:E15)-1</f>
        <v>0</v>
      </c>
      <c r="F15" s="13">
        <f>'1_Precios'!F15/MAX('1_Precios'!F$2:F15)-1</f>
        <v>0</v>
      </c>
      <c r="G15" s="13">
        <f>'1_Precios'!G15/MAX('1_Precios'!G$2:G15)-1</f>
        <v>0</v>
      </c>
    </row>
    <row r="16" spans="1:10">
      <c r="A16" s="12">
        <f>'1_Precios'!A16</f>
        <v>0</v>
      </c>
      <c r="B16" s="13">
        <f>'1_Precios'!B16/MAX('1_Precios'!B$2:B16)-1</f>
        <v>0</v>
      </c>
      <c r="C16" s="13">
        <f>'1_Precios'!C16/MAX('1_Precios'!C$2:C16)-1</f>
        <v>0</v>
      </c>
      <c r="D16" s="13">
        <f>'1_Precios'!D16/MAX('1_Precios'!D$2:D16)-1</f>
        <v>0</v>
      </c>
      <c r="E16" s="13">
        <f>'1_Precios'!E16/MAX('1_Precios'!E$2:E16)-1</f>
        <v>0</v>
      </c>
      <c r="F16" s="13">
        <f>'1_Precios'!F16/MAX('1_Precios'!F$2:F16)-1</f>
        <v>0</v>
      </c>
      <c r="G16" s="13">
        <f>'1_Precios'!G16/MAX('1_Precios'!G$2:G16)-1</f>
        <v>0</v>
      </c>
    </row>
    <row r="17" spans="1:7">
      <c r="A17" s="12">
        <f>'1_Precios'!A17</f>
        <v>0</v>
      </c>
      <c r="B17" s="13">
        <f>'1_Precios'!B17/MAX('1_Precios'!B$2:B17)-1</f>
        <v>0</v>
      </c>
      <c r="C17" s="13">
        <f>'1_Precios'!C17/MAX('1_Precios'!C$2:C17)-1</f>
        <v>0</v>
      </c>
      <c r="D17" s="13">
        <f>'1_Precios'!D17/MAX('1_Precios'!D$2:D17)-1</f>
        <v>0</v>
      </c>
      <c r="E17" s="13">
        <f>'1_Precios'!E17/MAX('1_Precios'!E$2:E17)-1</f>
        <v>0</v>
      </c>
      <c r="F17" s="13">
        <f>'1_Precios'!F17/MAX('1_Precios'!F$2:F17)-1</f>
        <v>0</v>
      </c>
      <c r="G17" s="13">
        <f>'1_Precios'!G17/MAX('1_Precios'!G$2:G17)-1</f>
        <v>0</v>
      </c>
    </row>
    <row r="18" spans="1:7">
      <c r="A18" s="12">
        <f>'1_Precios'!A18</f>
        <v>0</v>
      </c>
      <c r="B18" s="13">
        <f>'1_Precios'!B18/MAX('1_Precios'!B$2:B18)-1</f>
        <v>0</v>
      </c>
      <c r="C18" s="13">
        <f>'1_Precios'!C18/MAX('1_Precios'!C$2:C18)-1</f>
        <v>0</v>
      </c>
      <c r="D18" s="13">
        <f>'1_Precios'!D18/MAX('1_Precios'!D$2:D18)-1</f>
        <v>0</v>
      </c>
      <c r="E18" s="13">
        <f>'1_Precios'!E18/MAX('1_Precios'!E$2:E18)-1</f>
        <v>0</v>
      </c>
      <c r="F18" s="13">
        <f>'1_Precios'!F18/MAX('1_Precios'!F$2:F18)-1</f>
        <v>0</v>
      </c>
      <c r="G18" s="13">
        <f>'1_Precios'!G18/MAX('1_Precios'!G$2:G18)-1</f>
        <v>0</v>
      </c>
    </row>
    <row r="19" spans="1:7">
      <c r="A19" s="12">
        <f>'1_Precios'!A19</f>
        <v>0</v>
      </c>
      <c r="B19" s="13">
        <f>'1_Precios'!B19/MAX('1_Precios'!B$2:B19)-1</f>
        <v>0</v>
      </c>
      <c r="C19" s="13">
        <f>'1_Precios'!C19/MAX('1_Precios'!C$2:C19)-1</f>
        <v>0</v>
      </c>
      <c r="D19" s="13">
        <f>'1_Precios'!D19/MAX('1_Precios'!D$2:D19)-1</f>
        <v>0</v>
      </c>
      <c r="E19" s="13">
        <f>'1_Precios'!E19/MAX('1_Precios'!E$2:E19)-1</f>
        <v>0</v>
      </c>
      <c r="F19" s="13">
        <f>'1_Precios'!F19/MAX('1_Precios'!F$2:F19)-1</f>
        <v>0</v>
      </c>
      <c r="G19" s="13">
        <f>'1_Precios'!G19/MAX('1_Precios'!G$2:G19)-1</f>
        <v>0</v>
      </c>
    </row>
    <row r="20" spans="1:7">
      <c r="A20" s="12">
        <f>'1_Precios'!A20</f>
        <v>0</v>
      </c>
      <c r="B20" s="13">
        <f>'1_Precios'!B20/MAX('1_Precios'!B$2:B20)-1</f>
        <v>0</v>
      </c>
      <c r="C20" s="13">
        <f>'1_Precios'!C20/MAX('1_Precios'!C$2:C20)-1</f>
        <v>0</v>
      </c>
      <c r="D20" s="13">
        <f>'1_Precios'!D20/MAX('1_Precios'!D$2:D20)-1</f>
        <v>0</v>
      </c>
      <c r="E20" s="13">
        <f>'1_Precios'!E20/MAX('1_Precios'!E$2:E20)-1</f>
        <v>0</v>
      </c>
      <c r="F20" s="13">
        <f>'1_Precios'!F20/MAX('1_Precios'!F$2:F20)-1</f>
        <v>0</v>
      </c>
      <c r="G20" s="13">
        <f>'1_Precios'!G20/MAX('1_Precios'!G$2:G20)-1</f>
        <v>0</v>
      </c>
    </row>
    <row r="21" spans="1:7">
      <c r="A21" s="12">
        <f>'1_Precios'!A21</f>
        <v>0</v>
      </c>
      <c r="B21" s="13">
        <f>'1_Precios'!B21/MAX('1_Precios'!B$2:B21)-1</f>
        <v>0</v>
      </c>
      <c r="C21" s="13">
        <f>'1_Precios'!C21/MAX('1_Precios'!C$2:C21)-1</f>
        <v>0</v>
      </c>
      <c r="D21" s="13">
        <f>'1_Precios'!D21/MAX('1_Precios'!D$2:D21)-1</f>
        <v>0</v>
      </c>
      <c r="E21" s="13">
        <f>'1_Precios'!E21/MAX('1_Precios'!E$2:E21)-1</f>
        <v>0</v>
      </c>
      <c r="F21" s="13">
        <f>'1_Precios'!F21/MAX('1_Precios'!F$2:F21)-1</f>
        <v>0</v>
      </c>
      <c r="G21" s="13">
        <f>'1_Precios'!G21/MAX('1_Precios'!G$2:G21)-1</f>
        <v>0</v>
      </c>
    </row>
    <row r="22" spans="1:7">
      <c r="A22" s="12">
        <f>'1_Precios'!A22</f>
        <v>0</v>
      </c>
      <c r="B22" s="13">
        <f>'1_Precios'!B22/MAX('1_Precios'!B$2:B22)-1</f>
        <v>0</v>
      </c>
      <c r="C22" s="13">
        <f>'1_Precios'!C22/MAX('1_Precios'!C$2:C22)-1</f>
        <v>0</v>
      </c>
      <c r="D22" s="13">
        <f>'1_Precios'!D22/MAX('1_Precios'!D$2:D22)-1</f>
        <v>0</v>
      </c>
      <c r="E22" s="13">
        <f>'1_Precios'!E22/MAX('1_Precios'!E$2:E22)-1</f>
        <v>0</v>
      </c>
      <c r="F22" s="13">
        <f>'1_Precios'!F22/MAX('1_Precios'!F$2:F22)-1</f>
        <v>0</v>
      </c>
      <c r="G22" s="13">
        <f>'1_Precios'!G22/MAX('1_Precios'!G$2:G22)-1</f>
        <v>0</v>
      </c>
    </row>
    <row r="23" spans="1:7">
      <c r="A23" s="12">
        <f>'1_Precios'!A23</f>
        <v>0</v>
      </c>
      <c r="B23" s="13">
        <f>'1_Precios'!B23/MAX('1_Precios'!B$2:B23)-1</f>
        <v>0</v>
      </c>
      <c r="C23" s="13">
        <f>'1_Precios'!C23/MAX('1_Precios'!C$2:C23)-1</f>
        <v>0</v>
      </c>
      <c r="D23" s="13">
        <f>'1_Precios'!D23/MAX('1_Precios'!D$2:D23)-1</f>
        <v>0</v>
      </c>
      <c r="E23" s="13">
        <f>'1_Precios'!E23/MAX('1_Precios'!E$2:E23)-1</f>
        <v>0</v>
      </c>
      <c r="F23" s="13">
        <f>'1_Precios'!F23/MAX('1_Precios'!F$2:F23)-1</f>
        <v>0</v>
      </c>
      <c r="G23" s="13">
        <f>'1_Precios'!G23/MAX('1_Precios'!G$2:G23)-1</f>
        <v>0</v>
      </c>
    </row>
    <row r="24" spans="1:7">
      <c r="A24" s="12">
        <f>'1_Precios'!A24</f>
        <v>0</v>
      </c>
      <c r="B24" s="13">
        <f>'1_Precios'!B24/MAX('1_Precios'!B$2:B24)-1</f>
        <v>0</v>
      </c>
      <c r="C24" s="13">
        <f>'1_Precios'!C24/MAX('1_Precios'!C$2:C24)-1</f>
        <v>0</v>
      </c>
      <c r="D24" s="13">
        <f>'1_Precios'!D24/MAX('1_Precios'!D$2:D24)-1</f>
        <v>0</v>
      </c>
      <c r="E24" s="13">
        <f>'1_Precios'!E24/MAX('1_Precios'!E$2:E24)-1</f>
        <v>0</v>
      </c>
      <c r="F24" s="13">
        <f>'1_Precios'!F24/MAX('1_Precios'!F$2:F24)-1</f>
        <v>0</v>
      </c>
      <c r="G24" s="13">
        <f>'1_Precios'!G24/MAX('1_Precios'!G$2:G24)-1</f>
        <v>0</v>
      </c>
    </row>
    <row r="25" spans="1:7">
      <c r="A25" s="12">
        <f>'1_Precios'!A25</f>
        <v>0</v>
      </c>
      <c r="B25" s="13">
        <f>'1_Precios'!B25/MAX('1_Precios'!B$2:B25)-1</f>
        <v>0</v>
      </c>
      <c r="C25" s="13">
        <f>'1_Precios'!C25/MAX('1_Precios'!C$2:C25)-1</f>
        <v>0</v>
      </c>
      <c r="D25" s="13">
        <f>'1_Precios'!D25/MAX('1_Precios'!D$2:D25)-1</f>
        <v>0</v>
      </c>
      <c r="E25" s="13">
        <f>'1_Precios'!E25/MAX('1_Precios'!E$2:E25)-1</f>
        <v>0</v>
      </c>
      <c r="F25" s="13">
        <f>'1_Precios'!F25/MAX('1_Precios'!F$2:F25)-1</f>
        <v>0</v>
      </c>
      <c r="G25" s="13">
        <f>'1_Precios'!G25/MAX('1_Precios'!G$2:G25)-1</f>
        <v>0</v>
      </c>
    </row>
    <row r="26" spans="1:7">
      <c r="A26" s="12">
        <f>'1_Precios'!A26</f>
        <v>0</v>
      </c>
      <c r="B26" s="13">
        <f>'1_Precios'!B26/MAX('1_Precios'!B$2:B26)-1</f>
        <v>0</v>
      </c>
      <c r="C26" s="13">
        <f>'1_Precios'!C26/MAX('1_Precios'!C$2:C26)-1</f>
        <v>0</v>
      </c>
      <c r="D26" s="13">
        <f>'1_Precios'!D26/MAX('1_Precios'!D$2:D26)-1</f>
        <v>0</v>
      </c>
      <c r="E26" s="13">
        <f>'1_Precios'!E26/MAX('1_Precios'!E$2:E26)-1</f>
        <v>0</v>
      </c>
      <c r="F26" s="13">
        <f>'1_Precios'!F26/MAX('1_Precios'!F$2:F26)-1</f>
        <v>0</v>
      </c>
      <c r="G26" s="13">
        <f>'1_Precios'!G26/MAX('1_Precios'!G$2:G26)-1</f>
        <v>0</v>
      </c>
    </row>
    <row r="27" spans="1:7">
      <c r="A27" s="12">
        <f>'1_Precios'!A27</f>
        <v>0</v>
      </c>
      <c r="B27" s="13">
        <f>'1_Precios'!B27/MAX('1_Precios'!B$2:B27)-1</f>
        <v>0</v>
      </c>
      <c r="C27" s="13">
        <f>'1_Precios'!C27/MAX('1_Precios'!C$2:C27)-1</f>
        <v>0</v>
      </c>
      <c r="D27" s="13">
        <f>'1_Precios'!D27/MAX('1_Precios'!D$2:D27)-1</f>
        <v>0</v>
      </c>
      <c r="E27" s="13">
        <f>'1_Precios'!E27/MAX('1_Precios'!E$2:E27)-1</f>
        <v>0</v>
      </c>
      <c r="F27" s="13">
        <f>'1_Precios'!F27/MAX('1_Precios'!F$2:F27)-1</f>
        <v>0</v>
      </c>
      <c r="G27" s="13">
        <f>'1_Precios'!G27/MAX('1_Precios'!G$2:G27)-1</f>
        <v>0</v>
      </c>
    </row>
    <row r="28" spans="1:7">
      <c r="A28" s="12">
        <f>'1_Precios'!A28</f>
        <v>0</v>
      </c>
      <c r="B28" s="13">
        <f>'1_Precios'!B28/MAX('1_Precios'!B$2:B28)-1</f>
        <v>0</v>
      </c>
      <c r="C28" s="13">
        <f>'1_Precios'!C28/MAX('1_Precios'!C$2:C28)-1</f>
        <v>0</v>
      </c>
      <c r="D28" s="13">
        <f>'1_Precios'!D28/MAX('1_Precios'!D$2:D28)-1</f>
        <v>0</v>
      </c>
      <c r="E28" s="13">
        <f>'1_Precios'!E28/MAX('1_Precios'!E$2:E28)-1</f>
        <v>0</v>
      </c>
      <c r="F28" s="13">
        <f>'1_Precios'!F28/MAX('1_Precios'!F$2:F28)-1</f>
        <v>0</v>
      </c>
      <c r="G28" s="13">
        <f>'1_Precios'!G28/MAX('1_Precios'!G$2:G28)-1</f>
        <v>0</v>
      </c>
    </row>
    <row r="29" spans="1:7">
      <c r="A29" s="12">
        <f>'1_Precios'!A29</f>
        <v>0</v>
      </c>
      <c r="B29" s="13">
        <f>'1_Precios'!B29/MAX('1_Precios'!B$2:B29)-1</f>
        <v>0</v>
      </c>
      <c r="C29" s="13">
        <f>'1_Precios'!C29/MAX('1_Precios'!C$2:C29)-1</f>
        <v>0</v>
      </c>
      <c r="D29" s="13">
        <f>'1_Precios'!D29/MAX('1_Precios'!D$2:D29)-1</f>
        <v>0</v>
      </c>
      <c r="E29" s="13">
        <f>'1_Precios'!E29/MAX('1_Precios'!E$2:E29)-1</f>
        <v>0</v>
      </c>
      <c r="F29" s="13">
        <f>'1_Precios'!F29/MAX('1_Precios'!F$2:F29)-1</f>
        <v>0</v>
      </c>
      <c r="G29" s="13">
        <f>'1_Precios'!G29/MAX('1_Precios'!G$2:G29)-1</f>
        <v>0</v>
      </c>
    </row>
    <row r="30" spans="1:7">
      <c r="A30" s="12">
        <f>'1_Precios'!A30</f>
        <v>0</v>
      </c>
      <c r="B30" s="13">
        <f>'1_Precios'!B30/MAX('1_Precios'!B$2:B30)-1</f>
        <v>0</v>
      </c>
      <c r="C30" s="13">
        <f>'1_Precios'!C30/MAX('1_Precios'!C$2:C30)-1</f>
        <v>0</v>
      </c>
      <c r="D30" s="13">
        <f>'1_Precios'!D30/MAX('1_Precios'!D$2:D30)-1</f>
        <v>0</v>
      </c>
      <c r="E30" s="13">
        <f>'1_Precios'!E30/MAX('1_Precios'!E$2:E30)-1</f>
        <v>0</v>
      </c>
      <c r="F30" s="13">
        <f>'1_Precios'!F30/MAX('1_Precios'!F$2:F30)-1</f>
        <v>0</v>
      </c>
      <c r="G30" s="13">
        <f>'1_Precios'!G30/MAX('1_Precios'!G$2:G30)-1</f>
        <v>0</v>
      </c>
    </row>
    <row r="31" spans="1:7">
      <c r="A31" s="12">
        <f>'1_Precios'!A31</f>
        <v>0</v>
      </c>
      <c r="B31" s="13">
        <f>'1_Precios'!B31/MAX('1_Precios'!B$2:B31)-1</f>
        <v>0</v>
      </c>
      <c r="C31" s="13">
        <f>'1_Precios'!C31/MAX('1_Precios'!C$2:C31)-1</f>
        <v>0</v>
      </c>
      <c r="D31" s="13">
        <f>'1_Precios'!D31/MAX('1_Precios'!D$2:D31)-1</f>
        <v>0</v>
      </c>
      <c r="E31" s="13">
        <f>'1_Precios'!E31/MAX('1_Precios'!E$2:E31)-1</f>
        <v>0</v>
      </c>
      <c r="F31" s="13">
        <f>'1_Precios'!F31/MAX('1_Precios'!F$2:F31)-1</f>
        <v>0</v>
      </c>
      <c r="G31" s="13">
        <f>'1_Precios'!G31/MAX('1_Precios'!G$2:G31)-1</f>
        <v>0</v>
      </c>
    </row>
    <row r="32" spans="1:7">
      <c r="A32" s="12">
        <f>'1_Precios'!A32</f>
        <v>0</v>
      </c>
      <c r="B32" s="13">
        <f>'1_Precios'!B32/MAX('1_Precios'!B$2:B32)-1</f>
        <v>0</v>
      </c>
      <c r="C32" s="13">
        <f>'1_Precios'!C32/MAX('1_Precios'!C$2:C32)-1</f>
        <v>0</v>
      </c>
      <c r="D32" s="13">
        <f>'1_Precios'!D32/MAX('1_Precios'!D$2:D32)-1</f>
        <v>0</v>
      </c>
      <c r="E32" s="13">
        <f>'1_Precios'!E32/MAX('1_Precios'!E$2:E32)-1</f>
        <v>0</v>
      </c>
      <c r="F32" s="13">
        <f>'1_Precios'!F32/MAX('1_Precios'!F$2:F32)-1</f>
        <v>0</v>
      </c>
      <c r="G32" s="13">
        <f>'1_Precios'!G32/MAX('1_Precios'!G$2:G32)-1</f>
        <v>0</v>
      </c>
    </row>
    <row r="33" spans="1:7">
      <c r="A33" s="12">
        <f>'1_Precios'!A33</f>
        <v>0</v>
      </c>
      <c r="B33" s="13">
        <f>'1_Precios'!B33/MAX('1_Precios'!B$2:B33)-1</f>
        <v>0</v>
      </c>
      <c r="C33" s="13">
        <f>'1_Precios'!C33/MAX('1_Precios'!C$2:C33)-1</f>
        <v>0</v>
      </c>
      <c r="D33" s="13">
        <f>'1_Precios'!D33/MAX('1_Precios'!D$2:D33)-1</f>
        <v>0</v>
      </c>
      <c r="E33" s="13">
        <f>'1_Precios'!E33/MAX('1_Precios'!E$2:E33)-1</f>
        <v>0</v>
      </c>
      <c r="F33" s="13">
        <f>'1_Precios'!F33/MAX('1_Precios'!F$2:F33)-1</f>
        <v>0</v>
      </c>
      <c r="G33" s="13">
        <f>'1_Precios'!G33/MAX('1_Precios'!G$2:G33)-1</f>
        <v>0</v>
      </c>
    </row>
    <row r="34" spans="1:7">
      <c r="A34" s="12">
        <f>'1_Precios'!A34</f>
        <v>0</v>
      </c>
      <c r="B34" s="13">
        <f>'1_Precios'!B34/MAX('1_Precios'!B$2:B34)-1</f>
        <v>0</v>
      </c>
      <c r="C34" s="13">
        <f>'1_Precios'!C34/MAX('1_Precios'!C$2:C34)-1</f>
        <v>0</v>
      </c>
      <c r="D34" s="13">
        <f>'1_Precios'!D34/MAX('1_Precios'!D$2:D34)-1</f>
        <v>0</v>
      </c>
      <c r="E34" s="13">
        <f>'1_Precios'!E34/MAX('1_Precios'!E$2:E34)-1</f>
        <v>0</v>
      </c>
      <c r="F34" s="13">
        <f>'1_Precios'!F34/MAX('1_Precios'!F$2:F34)-1</f>
        <v>0</v>
      </c>
      <c r="G34" s="13">
        <f>'1_Precios'!G34/MAX('1_Precios'!G$2:G34)-1</f>
        <v>0</v>
      </c>
    </row>
    <row r="35" spans="1:7">
      <c r="A35" s="12">
        <f>'1_Precios'!A35</f>
        <v>0</v>
      </c>
      <c r="B35" s="13">
        <f>'1_Precios'!B35/MAX('1_Precios'!B$2:B35)-1</f>
        <v>0</v>
      </c>
      <c r="C35" s="13">
        <f>'1_Precios'!C35/MAX('1_Precios'!C$2:C35)-1</f>
        <v>0</v>
      </c>
      <c r="D35" s="13">
        <f>'1_Precios'!D35/MAX('1_Precios'!D$2:D35)-1</f>
        <v>0</v>
      </c>
      <c r="E35" s="13">
        <f>'1_Precios'!E35/MAX('1_Precios'!E$2:E35)-1</f>
        <v>0</v>
      </c>
      <c r="F35" s="13">
        <f>'1_Precios'!F35/MAX('1_Precios'!F$2:F35)-1</f>
        <v>0</v>
      </c>
      <c r="G35" s="13">
        <f>'1_Precios'!G35/MAX('1_Precios'!G$2:G35)-1</f>
        <v>0</v>
      </c>
    </row>
    <row r="36" spans="1:7">
      <c r="A36" s="12">
        <f>'1_Precios'!A36</f>
        <v>0</v>
      </c>
      <c r="B36" s="13">
        <f>'1_Precios'!B36/MAX('1_Precios'!B$2:B36)-1</f>
        <v>0</v>
      </c>
      <c r="C36" s="13">
        <f>'1_Precios'!C36/MAX('1_Precios'!C$2:C36)-1</f>
        <v>0</v>
      </c>
      <c r="D36" s="13">
        <f>'1_Precios'!D36/MAX('1_Precios'!D$2:D36)-1</f>
        <v>0</v>
      </c>
      <c r="E36" s="13">
        <f>'1_Precios'!E36/MAX('1_Precios'!E$2:E36)-1</f>
        <v>0</v>
      </c>
      <c r="F36" s="13">
        <f>'1_Precios'!F36/MAX('1_Precios'!F$2:F36)-1</f>
        <v>0</v>
      </c>
      <c r="G36" s="13">
        <f>'1_Precios'!G36/MAX('1_Precios'!G$2:G36)-1</f>
        <v>0</v>
      </c>
    </row>
    <row r="37" spans="1:7">
      <c r="A37" s="12">
        <f>'1_Precios'!A37</f>
        <v>0</v>
      </c>
      <c r="B37" s="13">
        <f>'1_Precios'!B37/MAX('1_Precios'!B$2:B37)-1</f>
        <v>0</v>
      </c>
      <c r="C37" s="13">
        <f>'1_Precios'!C37/MAX('1_Precios'!C$2:C37)-1</f>
        <v>0</v>
      </c>
      <c r="D37" s="13">
        <f>'1_Precios'!D37/MAX('1_Precios'!D$2:D37)-1</f>
        <v>0</v>
      </c>
      <c r="E37" s="13">
        <f>'1_Precios'!E37/MAX('1_Precios'!E$2:E37)-1</f>
        <v>0</v>
      </c>
      <c r="F37" s="13">
        <f>'1_Precios'!F37/MAX('1_Precios'!F$2:F37)-1</f>
        <v>0</v>
      </c>
      <c r="G37" s="13">
        <f>'1_Precios'!G37/MAX('1_Precios'!G$2:G37)-1</f>
        <v>0</v>
      </c>
    </row>
    <row r="38" spans="1:7">
      <c r="A38" s="12">
        <f>'1_Precios'!A38</f>
        <v>0</v>
      </c>
      <c r="B38" s="13">
        <f>'1_Precios'!B38/MAX('1_Precios'!B$2:B38)-1</f>
        <v>0</v>
      </c>
      <c r="C38" s="13">
        <f>'1_Precios'!C38/MAX('1_Precios'!C$2:C38)-1</f>
        <v>0</v>
      </c>
      <c r="D38" s="13">
        <f>'1_Precios'!D38/MAX('1_Precios'!D$2:D38)-1</f>
        <v>0</v>
      </c>
      <c r="E38" s="13">
        <f>'1_Precios'!E38/MAX('1_Precios'!E$2:E38)-1</f>
        <v>0</v>
      </c>
      <c r="F38" s="13">
        <f>'1_Precios'!F38/MAX('1_Precios'!F$2:F38)-1</f>
        <v>0</v>
      </c>
      <c r="G38" s="13">
        <f>'1_Precios'!G38/MAX('1_Precios'!G$2:G38)-1</f>
        <v>0</v>
      </c>
    </row>
    <row r="39" spans="1:7">
      <c r="A39" s="12">
        <f>'1_Precios'!A39</f>
        <v>0</v>
      </c>
      <c r="B39" s="13">
        <f>'1_Precios'!B39/MAX('1_Precios'!B$2:B39)-1</f>
        <v>0</v>
      </c>
      <c r="C39" s="13">
        <f>'1_Precios'!C39/MAX('1_Precios'!C$2:C39)-1</f>
        <v>0</v>
      </c>
      <c r="D39" s="13">
        <f>'1_Precios'!D39/MAX('1_Precios'!D$2:D39)-1</f>
        <v>0</v>
      </c>
      <c r="E39" s="13">
        <f>'1_Precios'!E39/MAX('1_Precios'!E$2:E39)-1</f>
        <v>0</v>
      </c>
      <c r="F39" s="13">
        <f>'1_Precios'!F39/MAX('1_Precios'!F$2:F39)-1</f>
        <v>0</v>
      </c>
      <c r="G39" s="13">
        <f>'1_Precios'!G39/MAX('1_Precios'!G$2:G39)-1</f>
        <v>0</v>
      </c>
    </row>
    <row r="40" spans="1:7">
      <c r="A40" s="12">
        <f>'1_Precios'!A40</f>
        <v>0</v>
      </c>
      <c r="B40" s="13">
        <f>'1_Precios'!B40/MAX('1_Precios'!B$2:B40)-1</f>
        <v>0</v>
      </c>
      <c r="C40" s="13">
        <f>'1_Precios'!C40/MAX('1_Precios'!C$2:C40)-1</f>
        <v>0</v>
      </c>
      <c r="D40" s="13">
        <f>'1_Precios'!D40/MAX('1_Precios'!D$2:D40)-1</f>
        <v>0</v>
      </c>
      <c r="E40" s="13">
        <f>'1_Precios'!E40/MAX('1_Precios'!E$2:E40)-1</f>
        <v>0</v>
      </c>
      <c r="F40" s="13">
        <f>'1_Precios'!F40/MAX('1_Precios'!F$2:F40)-1</f>
        <v>0</v>
      </c>
      <c r="G40" s="13">
        <f>'1_Precios'!G40/MAX('1_Precios'!G$2:G40)-1</f>
        <v>0</v>
      </c>
    </row>
    <row r="41" spans="1:7">
      <c r="A41" s="12">
        <f>'1_Precios'!A41</f>
        <v>0</v>
      </c>
      <c r="B41" s="13">
        <f>'1_Precios'!B41/MAX('1_Precios'!B$2:B41)-1</f>
        <v>0</v>
      </c>
      <c r="C41" s="13">
        <f>'1_Precios'!C41/MAX('1_Precios'!C$2:C41)-1</f>
        <v>0</v>
      </c>
      <c r="D41" s="13">
        <f>'1_Precios'!D41/MAX('1_Precios'!D$2:D41)-1</f>
        <v>0</v>
      </c>
      <c r="E41" s="13">
        <f>'1_Precios'!E41/MAX('1_Precios'!E$2:E41)-1</f>
        <v>0</v>
      </c>
      <c r="F41" s="13">
        <f>'1_Precios'!F41/MAX('1_Precios'!F$2:F41)-1</f>
        <v>0</v>
      </c>
      <c r="G41" s="13">
        <f>'1_Precios'!G41/MAX('1_Precios'!G$2:G41)-1</f>
        <v>0</v>
      </c>
    </row>
    <row r="42" spans="1:7">
      <c r="A42" s="12">
        <f>'1_Precios'!A42</f>
        <v>0</v>
      </c>
      <c r="B42" s="13">
        <f>'1_Precios'!B42/MAX('1_Precios'!B$2:B42)-1</f>
        <v>0</v>
      </c>
      <c r="C42" s="13">
        <f>'1_Precios'!C42/MAX('1_Precios'!C$2:C42)-1</f>
        <v>0</v>
      </c>
      <c r="D42" s="13">
        <f>'1_Precios'!D42/MAX('1_Precios'!D$2:D42)-1</f>
        <v>0</v>
      </c>
      <c r="E42" s="13">
        <f>'1_Precios'!E42/MAX('1_Precios'!E$2:E42)-1</f>
        <v>0</v>
      </c>
      <c r="F42" s="13">
        <f>'1_Precios'!F42/MAX('1_Precios'!F$2:F42)-1</f>
        <v>0</v>
      </c>
      <c r="G42" s="13">
        <f>'1_Precios'!G42/MAX('1_Precios'!G$2:G42)-1</f>
        <v>0</v>
      </c>
    </row>
    <row r="43" spans="1:7">
      <c r="A43" s="12">
        <f>'1_Precios'!A43</f>
        <v>0</v>
      </c>
      <c r="B43" s="13">
        <f>'1_Precios'!B43/MAX('1_Precios'!B$2:B43)-1</f>
        <v>0</v>
      </c>
      <c r="C43" s="13">
        <f>'1_Precios'!C43/MAX('1_Precios'!C$2:C43)-1</f>
        <v>0</v>
      </c>
      <c r="D43" s="13">
        <f>'1_Precios'!D43/MAX('1_Precios'!D$2:D43)-1</f>
        <v>0</v>
      </c>
      <c r="E43" s="13">
        <f>'1_Precios'!E43/MAX('1_Precios'!E$2:E43)-1</f>
        <v>0</v>
      </c>
      <c r="F43" s="13">
        <f>'1_Precios'!F43/MAX('1_Precios'!F$2:F43)-1</f>
        <v>0</v>
      </c>
      <c r="G43" s="13">
        <f>'1_Precios'!G43/MAX('1_Precios'!G$2:G43)-1</f>
        <v>0</v>
      </c>
    </row>
    <row r="44" spans="1:7">
      <c r="A44" s="12">
        <f>'1_Precios'!A44</f>
        <v>0</v>
      </c>
      <c r="B44" s="13">
        <f>'1_Precios'!B44/MAX('1_Precios'!B$2:B44)-1</f>
        <v>0</v>
      </c>
      <c r="C44" s="13">
        <f>'1_Precios'!C44/MAX('1_Precios'!C$2:C44)-1</f>
        <v>0</v>
      </c>
      <c r="D44" s="13">
        <f>'1_Precios'!D44/MAX('1_Precios'!D$2:D44)-1</f>
        <v>0</v>
      </c>
      <c r="E44" s="13">
        <f>'1_Precios'!E44/MAX('1_Precios'!E$2:E44)-1</f>
        <v>0</v>
      </c>
      <c r="F44" s="13">
        <f>'1_Precios'!F44/MAX('1_Precios'!F$2:F44)-1</f>
        <v>0</v>
      </c>
      <c r="G44" s="13">
        <f>'1_Precios'!G44/MAX('1_Precios'!G$2:G44)-1</f>
        <v>0</v>
      </c>
    </row>
    <row r="45" spans="1:7">
      <c r="A45" s="12">
        <f>'1_Precios'!A45</f>
        <v>0</v>
      </c>
      <c r="B45" s="13">
        <f>'1_Precios'!B45/MAX('1_Precios'!B$2:B45)-1</f>
        <v>0</v>
      </c>
      <c r="C45" s="13">
        <f>'1_Precios'!C45/MAX('1_Precios'!C$2:C45)-1</f>
        <v>0</v>
      </c>
      <c r="D45" s="13">
        <f>'1_Precios'!D45/MAX('1_Precios'!D$2:D45)-1</f>
        <v>0</v>
      </c>
      <c r="E45" s="13">
        <f>'1_Precios'!E45/MAX('1_Precios'!E$2:E45)-1</f>
        <v>0</v>
      </c>
      <c r="F45" s="13">
        <f>'1_Precios'!F45/MAX('1_Precios'!F$2:F45)-1</f>
        <v>0</v>
      </c>
      <c r="G45" s="13">
        <f>'1_Precios'!G45/MAX('1_Precios'!G$2:G45)-1</f>
        <v>0</v>
      </c>
    </row>
    <row r="46" spans="1:7">
      <c r="A46" s="12">
        <f>'1_Precios'!A46</f>
        <v>0</v>
      </c>
      <c r="B46" s="13">
        <f>'1_Precios'!B46/MAX('1_Precios'!B$2:B46)-1</f>
        <v>0</v>
      </c>
      <c r="C46" s="13">
        <f>'1_Precios'!C46/MAX('1_Precios'!C$2:C46)-1</f>
        <v>0</v>
      </c>
      <c r="D46" s="13">
        <f>'1_Precios'!D46/MAX('1_Precios'!D$2:D46)-1</f>
        <v>0</v>
      </c>
      <c r="E46" s="13">
        <f>'1_Precios'!E46/MAX('1_Precios'!E$2:E46)-1</f>
        <v>0</v>
      </c>
      <c r="F46" s="13">
        <f>'1_Precios'!F46/MAX('1_Precios'!F$2:F46)-1</f>
        <v>0</v>
      </c>
      <c r="G46" s="13">
        <f>'1_Precios'!G46/MAX('1_Precios'!G$2:G46)-1</f>
        <v>0</v>
      </c>
    </row>
    <row r="47" spans="1:7">
      <c r="A47" s="12">
        <f>'1_Precios'!A47</f>
        <v>0</v>
      </c>
      <c r="B47" s="13">
        <f>'1_Precios'!B47/MAX('1_Precios'!B$2:B47)-1</f>
        <v>0</v>
      </c>
      <c r="C47" s="13">
        <f>'1_Precios'!C47/MAX('1_Precios'!C$2:C47)-1</f>
        <v>0</v>
      </c>
      <c r="D47" s="13">
        <f>'1_Precios'!D47/MAX('1_Precios'!D$2:D47)-1</f>
        <v>0</v>
      </c>
      <c r="E47" s="13">
        <f>'1_Precios'!E47/MAX('1_Precios'!E$2:E47)-1</f>
        <v>0</v>
      </c>
      <c r="F47" s="13">
        <f>'1_Precios'!F47/MAX('1_Precios'!F$2:F47)-1</f>
        <v>0</v>
      </c>
      <c r="G47" s="13">
        <f>'1_Precios'!G47/MAX('1_Precios'!G$2:G47)-1</f>
        <v>0</v>
      </c>
    </row>
    <row r="48" spans="1:7">
      <c r="A48" s="12">
        <f>'1_Precios'!A48</f>
        <v>0</v>
      </c>
      <c r="B48" s="13">
        <f>'1_Precios'!B48/MAX('1_Precios'!B$2:B48)-1</f>
        <v>0</v>
      </c>
      <c r="C48" s="13">
        <f>'1_Precios'!C48/MAX('1_Precios'!C$2:C48)-1</f>
        <v>0</v>
      </c>
      <c r="D48" s="13">
        <f>'1_Precios'!D48/MAX('1_Precios'!D$2:D48)-1</f>
        <v>0</v>
      </c>
      <c r="E48" s="13">
        <f>'1_Precios'!E48/MAX('1_Precios'!E$2:E48)-1</f>
        <v>0</v>
      </c>
      <c r="F48" s="13">
        <f>'1_Precios'!F48/MAX('1_Precios'!F$2:F48)-1</f>
        <v>0</v>
      </c>
      <c r="G48" s="13">
        <f>'1_Precios'!G48/MAX('1_Precios'!G$2:G48)-1</f>
        <v>0</v>
      </c>
    </row>
    <row r="49" spans="1:7">
      <c r="A49" s="12">
        <f>'1_Precios'!A49</f>
        <v>0</v>
      </c>
      <c r="B49" s="13">
        <f>'1_Precios'!B49/MAX('1_Precios'!B$2:B49)-1</f>
        <v>0</v>
      </c>
      <c r="C49" s="13">
        <f>'1_Precios'!C49/MAX('1_Precios'!C$2:C49)-1</f>
        <v>0</v>
      </c>
      <c r="D49" s="13">
        <f>'1_Precios'!D49/MAX('1_Precios'!D$2:D49)-1</f>
        <v>0</v>
      </c>
      <c r="E49" s="13">
        <f>'1_Precios'!E49/MAX('1_Precios'!E$2:E49)-1</f>
        <v>0</v>
      </c>
      <c r="F49" s="13">
        <f>'1_Precios'!F49/MAX('1_Precios'!F$2:F49)-1</f>
        <v>0</v>
      </c>
      <c r="G49" s="13">
        <f>'1_Precios'!G49/MAX('1_Precios'!G$2:G49)-1</f>
        <v>0</v>
      </c>
    </row>
    <row r="50" spans="1:7">
      <c r="A50" s="12">
        <f>'1_Precios'!A50</f>
        <v>0</v>
      </c>
      <c r="B50" s="13">
        <f>'1_Precios'!B50/MAX('1_Precios'!B$2:B50)-1</f>
        <v>0</v>
      </c>
      <c r="C50" s="13">
        <f>'1_Precios'!C50/MAX('1_Precios'!C$2:C50)-1</f>
        <v>0</v>
      </c>
      <c r="D50" s="13">
        <f>'1_Precios'!D50/MAX('1_Precios'!D$2:D50)-1</f>
        <v>0</v>
      </c>
      <c r="E50" s="13">
        <f>'1_Precios'!E50/MAX('1_Precios'!E$2:E50)-1</f>
        <v>0</v>
      </c>
      <c r="F50" s="13">
        <f>'1_Precios'!F50/MAX('1_Precios'!F$2:F50)-1</f>
        <v>0</v>
      </c>
      <c r="G50" s="13">
        <f>'1_Precios'!G50/MAX('1_Precios'!G$2:G50)-1</f>
        <v>0</v>
      </c>
    </row>
    <row r="51" spans="1:7">
      <c r="A51" s="12">
        <f>'1_Precios'!A51</f>
        <v>0</v>
      </c>
      <c r="B51" s="13">
        <f>'1_Precios'!B51/MAX('1_Precios'!B$2:B51)-1</f>
        <v>0</v>
      </c>
      <c r="C51" s="13">
        <f>'1_Precios'!C51/MAX('1_Precios'!C$2:C51)-1</f>
        <v>0</v>
      </c>
      <c r="D51" s="13">
        <f>'1_Precios'!D51/MAX('1_Precios'!D$2:D51)-1</f>
        <v>0</v>
      </c>
      <c r="E51" s="13">
        <f>'1_Precios'!E51/MAX('1_Precios'!E$2:E51)-1</f>
        <v>0</v>
      </c>
      <c r="F51" s="13">
        <f>'1_Precios'!F51/MAX('1_Precios'!F$2:F51)-1</f>
        <v>0</v>
      </c>
      <c r="G51" s="13">
        <f>'1_Precios'!G51/MAX('1_Precios'!G$2:G51)-1</f>
        <v>0</v>
      </c>
    </row>
    <row r="52" spans="1:7">
      <c r="A52" s="12">
        <f>'1_Precios'!A52</f>
        <v>0</v>
      </c>
      <c r="B52" s="13">
        <f>'1_Precios'!B52/MAX('1_Precios'!B$2:B52)-1</f>
        <v>0</v>
      </c>
      <c r="C52" s="13">
        <f>'1_Precios'!C52/MAX('1_Precios'!C$2:C52)-1</f>
        <v>0</v>
      </c>
      <c r="D52" s="13">
        <f>'1_Precios'!D52/MAX('1_Precios'!D$2:D52)-1</f>
        <v>0</v>
      </c>
      <c r="E52" s="13">
        <f>'1_Precios'!E52/MAX('1_Precios'!E$2:E52)-1</f>
        <v>0</v>
      </c>
      <c r="F52" s="13">
        <f>'1_Precios'!F52/MAX('1_Precios'!F$2:F52)-1</f>
        <v>0</v>
      </c>
      <c r="G52" s="13">
        <f>'1_Precios'!G52/MAX('1_Precios'!G$2:G52)-1</f>
        <v>0</v>
      </c>
    </row>
    <row r="53" spans="1:7">
      <c r="A53" s="12">
        <f>'1_Precios'!A53</f>
        <v>0</v>
      </c>
      <c r="B53" s="13">
        <f>'1_Precios'!B53/MAX('1_Precios'!B$2:B53)-1</f>
        <v>0</v>
      </c>
      <c r="C53" s="13">
        <f>'1_Precios'!C53/MAX('1_Precios'!C$2:C53)-1</f>
        <v>0</v>
      </c>
      <c r="D53" s="13">
        <f>'1_Precios'!D53/MAX('1_Precios'!D$2:D53)-1</f>
        <v>0</v>
      </c>
      <c r="E53" s="13">
        <f>'1_Precios'!E53/MAX('1_Precios'!E$2:E53)-1</f>
        <v>0</v>
      </c>
      <c r="F53" s="13">
        <f>'1_Precios'!F53/MAX('1_Precios'!F$2:F53)-1</f>
        <v>0</v>
      </c>
      <c r="G53" s="13">
        <f>'1_Precios'!G53/MAX('1_Precios'!G$2:G53)-1</f>
        <v>0</v>
      </c>
    </row>
    <row r="54" spans="1:7">
      <c r="A54" s="12">
        <f>'1_Precios'!A54</f>
        <v>0</v>
      </c>
      <c r="B54" s="13">
        <f>'1_Precios'!B54/MAX('1_Precios'!B$2:B54)-1</f>
        <v>0</v>
      </c>
      <c r="C54" s="13">
        <f>'1_Precios'!C54/MAX('1_Precios'!C$2:C54)-1</f>
        <v>0</v>
      </c>
      <c r="D54" s="13">
        <f>'1_Precios'!D54/MAX('1_Precios'!D$2:D54)-1</f>
        <v>0</v>
      </c>
      <c r="E54" s="13">
        <f>'1_Precios'!E54/MAX('1_Precios'!E$2:E54)-1</f>
        <v>0</v>
      </c>
      <c r="F54" s="13">
        <f>'1_Precios'!F54/MAX('1_Precios'!F$2:F54)-1</f>
        <v>0</v>
      </c>
      <c r="G54" s="13">
        <f>'1_Precios'!G54/MAX('1_Precios'!G$2:G54)-1</f>
        <v>0</v>
      </c>
    </row>
    <row r="55" spans="1:7">
      <c r="A55" s="12">
        <f>'1_Precios'!A55</f>
        <v>0</v>
      </c>
      <c r="B55" s="13">
        <f>'1_Precios'!B55/MAX('1_Precios'!B$2:B55)-1</f>
        <v>0</v>
      </c>
      <c r="C55" s="13">
        <f>'1_Precios'!C55/MAX('1_Precios'!C$2:C55)-1</f>
        <v>0</v>
      </c>
      <c r="D55" s="13">
        <f>'1_Precios'!D55/MAX('1_Precios'!D$2:D55)-1</f>
        <v>0</v>
      </c>
      <c r="E55" s="13">
        <f>'1_Precios'!E55/MAX('1_Precios'!E$2:E55)-1</f>
        <v>0</v>
      </c>
      <c r="F55" s="13">
        <f>'1_Precios'!F55/MAX('1_Precios'!F$2:F55)-1</f>
        <v>0</v>
      </c>
      <c r="G55" s="13">
        <f>'1_Precios'!G55/MAX('1_Precios'!G$2:G55)-1</f>
        <v>0</v>
      </c>
    </row>
    <row r="56" spans="1:7">
      <c r="A56" s="12">
        <f>'1_Precios'!A56</f>
        <v>0</v>
      </c>
      <c r="B56" s="13">
        <f>'1_Precios'!B56/MAX('1_Precios'!B$2:B56)-1</f>
        <v>0</v>
      </c>
      <c r="C56" s="13">
        <f>'1_Precios'!C56/MAX('1_Precios'!C$2:C56)-1</f>
        <v>0</v>
      </c>
      <c r="D56" s="13">
        <f>'1_Precios'!D56/MAX('1_Precios'!D$2:D56)-1</f>
        <v>0</v>
      </c>
      <c r="E56" s="13">
        <f>'1_Precios'!E56/MAX('1_Precios'!E$2:E56)-1</f>
        <v>0</v>
      </c>
      <c r="F56" s="13">
        <f>'1_Precios'!F56/MAX('1_Precios'!F$2:F56)-1</f>
        <v>0</v>
      </c>
      <c r="G56" s="13">
        <f>'1_Precios'!G56/MAX('1_Precios'!G$2:G56)-1</f>
        <v>0</v>
      </c>
    </row>
    <row r="57" spans="1:7">
      <c r="A57" s="12">
        <f>'1_Precios'!A57</f>
        <v>0</v>
      </c>
      <c r="B57" s="13">
        <f>'1_Precios'!B57/MAX('1_Precios'!B$2:B57)-1</f>
        <v>0</v>
      </c>
      <c r="C57" s="13">
        <f>'1_Precios'!C57/MAX('1_Precios'!C$2:C57)-1</f>
        <v>0</v>
      </c>
      <c r="D57" s="13">
        <f>'1_Precios'!D57/MAX('1_Precios'!D$2:D57)-1</f>
        <v>0</v>
      </c>
      <c r="E57" s="13">
        <f>'1_Precios'!E57/MAX('1_Precios'!E$2:E57)-1</f>
        <v>0</v>
      </c>
      <c r="F57" s="13">
        <f>'1_Precios'!F57/MAX('1_Precios'!F$2:F57)-1</f>
        <v>0</v>
      </c>
      <c r="G57" s="13">
        <f>'1_Precios'!G57/MAX('1_Precios'!G$2:G57)-1</f>
        <v>0</v>
      </c>
    </row>
    <row r="58" spans="1:7">
      <c r="A58" s="12">
        <f>'1_Precios'!A58</f>
        <v>0</v>
      </c>
      <c r="B58" s="13">
        <f>'1_Precios'!B58/MAX('1_Precios'!B$2:B58)-1</f>
        <v>0</v>
      </c>
      <c r="C58" s="13">
        <f>'1_Precios'!C58/MAX('1_Precios'!C$2:C58)-1</f>
        <v>0</v>
      </c>
      <c r="D58" s="13">
        <f>'1_Precios'!D58/MAX('1_Precios'!D$2:D58)-1</f>
        <v>0</v>
      </c>
      <c r="E58" s="13">
        <f>'1_Precios'!E58/MAX('1_Precios'!E$2:E58)-1</f>
        <v>0</v>
      </c>
      <c r="F58" s="13">
        <f>'1_Precios'!F58/MAX('1_Precios'!F$2:F58)-1</f>
        <v>0</v>
      </c>
      <c r="G58" s="13">
        <f>'1_Precios'!G58/MAX('1_Precios'!G$2:G58)-1</f>
        <v>0</v>
      </c>
    </row>
    <row r="59" spans="1:7">
      <c r="A59" s="12">
        <f>'1_Precios'!A59</f>
        <v>0</v>
      </c>
      <c r="B59" s="13">
        <f>'1_Precios'!B59/MAX('1_Precios'!B$2:B59)-1</f>
        <v>0</v>
      </c>
      <c r="C59" s="13">
        <f>'1_Precios'!C59/MAX('1_Precios'!C$2:C59)-1</f>
        <v>0</v>
      </c>
      <c r="D59" s="13">
        <f>'1_Precios'!D59/MAX('1_Precios'!D$2:D59)-1</f>
        <v>0</v>
      </c>
      <c r="E59" s="13">
        <f>'1_Precios'!E59/MAX('1_Precios'!E$2:E59)-1</f>
        <v>0</v>
      </c>
      <c r="F59" s="13">
        <f>'1_Precios'!F59/MAX('1_Precios'!F$2:F59)-1</f>
        <v>0</v>
      </c>
      <c r="G59" s="13">
        <f>'1_Precios'!G59/MAX('1_Precios'!G$2:G59)-1</f>
        <v>0</v>
      </c>
    </row>
    <row r="60" spans="1:7">
      <c r="A60" s="12">
        <f>'1_Precios'!A60</f>
        <v>0</v>
      </c>
      <c r="B60" s="13">
        <f>'1_Precios'!B60/MAX('1_Precios'!B$2:B60)-1</f>
        <v>0</v>
      </c>
      <c r="C60" s="13">
        <f>'1_Precios'!C60/MAX('1_Precios'!C$2:C60)-1</f>
        <v>0</v>
      </c>
      <c r="D60" s="13">
        <f>'1_Precios'!D60/MAX('1_Precios'!D$2:D60)-1</f>
        <v>0</v>
      </c>
      <c r="E60" s="13">
        <f>'1_Precios'!E60/MAX('1_Precios'!E$2:E60)-1</f>
        <v>0</v>
      </c>
      <c r="F60" s="13">
        <f>'1_Precios'!F60/MAX('1_Precios'!F$2:F60)-1</f>
        <v>0</v>
      </c>
      <c r="G60" s="13">
        <f>'1_Precios'!G60/MAX('1_Precios'!G$2:G60)-1</f>
        <v>0</v>
      </c>
    </row>
    <row r="61" spans="1:7">
      <c r="A61" s="12">
        <f>'1_Precios'!A61</f>
        <v>0</v>
      </c>
      <c r="B61" s="13">
        <f>'1_Precios'!B61/MAX('1_Precios'!B$2:B61)-1</f>
        <v>0</v>
      </c>
      <c r="C61" s="13">
        <f>'1_Precios'!C61/MAX('1_Precios'!C$2:C61)-1</f>
        <v>0</v>
      </c>
      <c r="D61" s="13">
        <f>'1_Precios'!D61/MAX('1_Precios'!D$2:D61)-1</f>
        <v>0</v>
      </c>
      <c r="E61" s="13">
        <f>'1_Precios'!E61/MAX('1_Precios'!E$2:E61)-1</f>
        <v>0</v>
      </c>
      <c r="F61" s="13">
        <f>'1_Precios'!F61/MAX('1_Precios'!F$2:F61)-1</f>
        <v>0</v>
      </c>
      <c r="G61" s="13">
        <f>'1_Precios'!G61/MAX('1_Precios'!G$2:G61)-1</f>
        <v>0</v>
      </c>
    </row>
    <row r="62" spans="1:7">
      <c r="A62" s="12">
        <f>'1_Precios'!A62</f>
        <v>0</v>
      </c>
      <c r="B62" s="13">
        <f>'1_Precios'!B62/MAX('1_Precios'!B$2:B62)-1</f>
        <v>0</v>
      </c>
      <c r="C62" s="13">
        <f>'1_Precios'!C62/MAX('1_Precios'!C$2:C62)-1</f>
        <v>0</v>
      </c>
      <c r="D62" s="13">
        <f>'1_Precios'!D62/MAX('1_Precios'!D$2:D62)-1</f>
        <v>0</v>
      </c>
      <c r="E62" s="13">
        <f>'1_Precios'!E62/MAX('1_Precios'!E$2:E62)-1</f>
        <v>0</v>
      </c>
      <c r="F62" s="13">
        <f>'1_Precios'!F62/MAX('1_Precios'!F$2:F62)-1</f>
        <v>0</v>
      </c>
      <c r="G62" s="13">
        <f>'1_Precios'!G62/MAX('1_Precios'!G$2:G62)-1</f>
        <v>0</v>
      </c>
    </row>
    <row r="63" spans="1:7">
      <c r="A63" s="12">
        <f>'1_Precios'!A63</f>
        <v>0</v>
      </c>
      <c r="B63" s="13">
        <f>'1_Precios'!B63/MAX('1_Precios'!B$2:B63)-1</f>
        <v>0</v>
      </c>
      <c r="C63" s="13">
        <f>'1_Precios'!C63/MAX('1_Precios'!C$2:C63)-1</f>
        <v>0</v>
      </c>
      <c r="D63" s="13">
        <f>'1_Precios'!D63/MAX('1_Precios'!D$2:D63)-1</f>
        <v>0</v>
      </c>
      <c r="E63" s="13">
        <f>'1_Precios'!E63/MAX('1_Precios'!E$2:E63)-1</f>
        <v>0</v>
      </c>
      <c r="F63" s="13">
        <f>'1_Precios'!F63/MAX('1_Precios'!F$2:F63)-1</f>
        <v>0</v>
      </c>
      <c r="G63" s="13">
        <f>'1_Precios'!G63/MAX('1_Precios'!G$2:G63)-1</f>
        <v>0</v>
      </c>
    </row>
    <row r="64" spans="1:7">
      <c r="A64" s="12">
        <f>'1_Precios'!A64</f>
        <v>0</v>
      </c>
      <c r="B64" s="13">
        <f>'1_Precios'!B64/MAX('1_Precios'!B$2:B64)-1</f>
        <v>0</v>
      </c>
      <c r="C64" s="13">
        <f>'1_Precios'!C64/MAX('1_Precios'!C$2:C64)-1</f>
        <v>0</v>
      </c>
      <c r="D64" s="13">
        <f>'1_Precios'!D64/MAX('1_Precios'!D$2:D64)-1</f>
        <v>0</v>
      </c>
      <c r="E64" s="13">
        <f>'1_Precios'!E64/MAX('1_Precios'!E$2:E64)-1</f>
        <v>0</v>
      </c>
      <c r="F64" s="13">
        <f>'1_Precios'!F64/MAX('1_Precios'!F$2:F64)-1</f>
        <v>0</v>
      </c>
      <c r="G64" s="13">
        <f>'1_Precios'!G64/MAX('1_Precios'!G$2:G64)-1</f>
        <v>0</v>
      </c>
    </row>
    <row r="65" spans="1:7">
      <c r="A65" s="12">
        <f>'1_Precios'!A65</f>
        <v>0</v>
      </c>
      <c r="B65" s="13">
        <f>'1_Precios'!B65/MAX('1_Precios'!B$2:B65)-1</f>
        <v>0</v>
      </c>
      <c r="C65" s="13">
        <f>'1_Precios'!C65/MAX('1_Precios'!C$2:C65)-1</f>
        <v>0</v>
      </c>
      <c r="D65" s="13">
        <f>'1_Precios'!D65/MAX('1_Precios'!D$2:D65)-1</f>
        <v>0</v>
      </c>
      <c r="E65" s="13">
        <f>'1_Precios'!E65/MAX('1_Precios'!E$2:E65)-1</f>
        <v>0</v>
      </c>
      <c r="F65" s="13">
        <f>'1_Precios'!F65/MAX('1_Precios'!F$2:F65)-1</f>
        <v>0</v>
      </c>
      <c r="G65" s="13">
        <f>'1_Precios'!G65/MAX('1_Precios'!G$2:G65)-1</f>
        <v>0</v>
      </c>
    </row>
    <row r="66" spans="1:7">
      <c r="A66" s="12">
        <f>'1_Precios'!A66</f>
        <v>0</v>
      </c>
      <c r="B66" s="13">
        <f>'1_Precios'!B66/MAX('1_Precios'!B$2:B66)-1</f>
        <v>0</v>
      </c>
      <c r="C66" s="13">
        <f>'1_Precios'!C66/MAX('1_Precios'!C$2:C66)-1</f>
        <v>0</v>
      </c>
      <c r="D66" s="13">
        <f>'1_Precios'!D66/MAX('1_Precios'!D$2:D66)-1</f>
        <v>0</v>
      </c>
      <c r="E66" s="13">
        <f>'1_Precios'!E66/MAX('1_Precios'!E$2:E66)-1</f>
        <v>0</v>
      </c>
      <c r="F66" s="13">
        <f>'1_Precios'!F66/MAX('1_Precios'!F$2:F66)-1</f>
        <v>0</v>
      </c>
      <c r="G66" s="13">
        <f>'1_Precios'!G66/MAX('1_Precios'!G$2:G66)-1</f>
        <v>0</v>
      </c>
    </row>
    <row r="67" spans="1:7">
      <c r="A67" s="12">
        <f>'1_Precios'!A67</f>
        <v>0</v>
      </c>
      <c r="B67" s="13">
        <f>'1_Precios'!B67/MAX('1_Precios'!B$2:B67)-1</f>
        <v>0</v>
      </c>
      <c r="C67" s="13">
        <f>'1_Precios'!C67/MAX('1_Precios'!C$2:C67)-1</f>
        <v>0</v>
      </c>
      <c r="D67" s="13">
        <f>'1_Precios'!D67/MAX('1_Precios'!D$2:D67)-1</f>
        <v>0</v>
      </c>
      <c r="E67" s="13">
        <f>'1_Precios'!E67/MAX('1_Precios'!E$2:E67)-1</f>
        <v>0</v>
      </c>
      <c r="F67" s="13">
        <f>'1_Precios'!F67/MAX('1_Precios'!F$2:F67)-1</f>
        <v>0</v>
      </c>
      <c r="G67" s="13">
        <f>'1_Precios'!G67/MAX('1_Precios'!G$2:G67)-1</f>
        <v>0</v>
      </c>
    </row>
    <row r="68" spans="1:7">
      <c r="A68" s="12">
        <f>'1_Precios'!A68</f>
        <v>0</v>
      </c>
      <c r="B68" s="13">
        <f>'1_Precios'!B68/MAX('1_Precios'!B$2:B68)-1</f>
        <v>0</v>
      </c>
      <c r="C68" s="13">
        <f>'1_Precios'!C68/MAX('1_Precios'!C$2:C68)-1</f>
        <v>0</v>
      </c>
      <c r="D68" s="13">
        <f>'1_Precios'!D68/MAX('1_Precios'!D$2:D68)-1</f>
        <v>0</v>
      </c>
      <c r="E68" s="13">
        <f>'1_Precios'!E68/MAX('1_Precios'!E$2:E68)-1</f>
        <v>0</v>
      </c>
      <c r="F68" s="13">
        <f>'1_Precios'!F68/MAX('1_Precios'!F$2:F68)-1</f>
        <v>0</v>
      </c>
      <c r="G68" s="13">
        <f>'1_Precios'!G68/MAX('1_Precios'!G$2:G68)-1</f>
        <v>0</v>
      </c>
    </row>
    <row r="69" spans="1:7">
      <c r="A69" s="12">
        <f>'1_Precios'!A69</f>
        <v>0</v>
      </c>
      <c r="B69" s="13">
        <f>'1_Precios'!B69/MAX('1_Precios'!B$2:B69)-1</f>
        <v>0</v>
      </c>
      <c r="C69" s="13">
        <f>'1_Precios'!C69/MAX('1_Precios'!C$2:C69)-1</f>
        <v>0</v>
      </c>
      <c r="D69" s="13">
        <f>'1_Precios'!D69/MAX('1_Precios'!D$2:D69)-1</f>
        <v>0</v>
      </c>
      <c r="E69" s="13">
        <f>'1_Precios'!E69/MAX('1_Precios'!E$2:E69)-1</f>
        <v>0</v>
      </c>
      <c r="F69" s="13">
        <f>'1_Precios'!F69/MAX('1_Precios'!F$2:F69)-1</f>
        <v>0</v>
      </c>
      <c r="G69" s="13">
        <f>'1_Precios'!G69/MAX('1_Precios'!G$2:G69)-1</f>
        <v>0</v>
      </c>
    </row>
    <row r="70" spans="1:7">
      <c r="A70" s="12">
        <f>'1_Precios'!A70</f>
        <v>0</v>
      </c>
      <c r="B70" s="13">
        <f>'1_Precios'!B70/MAX('1_Precios'!B$2:B70)-1</f>
        <v>0</v>
      </c>
      <c r="C70" s="13">
        <f>'1_Precios'!C70/MAX('1_Precios'!C$2:C70)-1</f>
        <v>0</v>
      </c>
      <c r="D70" s="13">
        <f>'1_Precios'!D70/MAX('1_Precios'!D$2:D70)-1</f>
        <v>0</v>
      </c>
      <c r="E70" s="13">
        <f>'1_Precios'!E70/MAX('1_Precios'!E$2:E70)-1</f>
        <v>0</v>
      </c>
      <c r="F70" s="13">
        <f>'1_Precios'!F70/MAX('1_Precios'!F$2:F70)-1</f>
        <v>0</v>
      </c>
      <c r="G70" s="13">
        <f>'1_Precios'!G70/MAX('1_Precios'!G$2:G70)-1</f>
        <v>0</v>
      </c>
    </row>
    <row r="71" spans="1:7">
      <c r="A71" s="12">
        <f>'1_Precios'!A71</f>
        <v>0</v>
      </c>
      <c r="B71" s="13">
        <f>'1_Precios'!B71/MAX('1_Precios'!B$2:B71)-1</f>
        <v>0</v>
      </c>
      <c r="C71" s="13">
        <f>'1_Precios'!C71/MAX('1_Precios'!C$2:C71)-1</f>
        <v>0</v>
      </c>
      <c r="D71" s="13">
        <f>'1_Precios'!D71/MAX('1_Precios'!D$2:D71)-1</f>
        <v>0</v>
      </c>
      <c r="E71" s="13">
        <f>'1_Precios'!E71/MAX('1_Precios'!E$2:E71)-1</f>
        <v>0</v>
      </c>
      <c r="F71" s="13">
        <f>'1_Precios'!F71/MAX('1_Precios'!F$2:F71)-1</f>
        <v>0</v>
      </c>
      <c r="G71" s="13">
        <f>'1_Precios'!G71/MAX('1_Precios'!G$2:G71)-1</f>
        <v>0</v>
      </c>
    </row>
    <row r="72" spans="1:7">
      <c r="A72" s="12">
        <f>'1_Precios'!A72</f>
        <v>0</v>
      </c>
      <c r="B72" s="13">
        <f>'1_Precios'!B72/MAX('1_Precios'!B$2:B72)-1</f>
        <v>0</v>
      </c>
      <c r="C72" s="13">
        <f>'1_Precios'!C72/MAX('1_Precios'!C$2:C72)-1</f>
        <v>0</v>
      </c>
      <c r="D72" s="13">
        <f>'1_Precios'!D72/MAX('1_Precios'!D$2:D72)-1</f>
        <v>0</v>
      </c>
      <c r="E72" s="13">
        <f>'1_Precios'!E72/MAX('1_Precios'!E$2:E72)-1</f>
        <v>0</v>
      </c>
      <c r="F72" s="13">
        <f>'1_Precios'!F72/MAX('1_Precios'!F$2:F72)-1</f>
        <v>0</v>
      </c>
      <c r="G72" s="13">
        <f>'1_Precios'!G72/MAX('1_Precios'!G$2:G72)-1</f>
        <v>0</v>
      </c>
    </row>
    <row r="73" spans="1:7">
      <c r="A73" s="12">
        <f>'1_Precios'!A73</f>
        <v>0</v>
      </c>
      <c r="B73" s="13">
        <f>'1_Precios'!B73/MAX('1_Precios'!B$2:B73)-1</f>
        <v>0</v>
      </c>
      <c r="C73" s="13">
        <f>'1_Precios'!C73/MAX('1_Precios'!C$2:C73)-1</f>
        <v>0</v>
      </c>
      <c r="D73" s="13">
        <f>'1_Precios'!D73/MAX('1_Precios'!D$2:D73)-1</f>
        <v>0</v>
      </c>
      <c r="E73" s="13">
        <f>'1_Precios'!E73/MAX('1_Precios'!E$2:E73)-1</f>
        <v>0</v>
      </c>
      <c r="F73" s="13">
        <f>'1_Precios'!F73/MAX('1_Precios'!F$2:F73)-1</f>
        <v>0</v>
      </c>
      <c r="G73" s="13">
        <f>'1_Precios'!G73/MAX('1_Precios'!G$2:G73)-1</f>
        <v>0</v>
      </c>
    </row>
    <row r="74" spans="1:7">
      <c r="A74" s="12">
        <f>'1_Precios'!A74</f>
        <v>0</v>
      </c>
      <c r="B74" s="13">
        <f>'1_Precios'!B74/MAX('1_Precios'!B$2:B74)-1</f>
        <v>0</v>
      </c>
      <c r="C74" s="13">
        <f>'1_Precios'!C74/MAX('1_Precios'!C$2:C74)-1</f>
        <v>0</v>
      </c>
      <c r="D74" s="13">
        <f>'1_Precios'!D74/MAX('1_Precios'!D$2:D74)-1</f>
        <v>0</v>
      </c>
      <c r="E74" s="13">
        <f>'1_Precios'!E74/MAX('1_Precios'!E$2:E74)-1</f>
        <v>0</v>
      </c>
      <c r="F74" s="13">
        <f>'1_Precios'!F74/MAX('1_Precios'!F$2:F74)-1</f>
        <v>0</v>
      </c>
      <c r="G74" s="13">
        <f>'1_Precios'!G74/MAX('1_Precios'!G$2:G74)-1</f>
        <v>0</v>
      </c>
    </row>
    <row r="75" spans="1:7">
      <c r="A75" s="12">
        <f>'1_Precios'!A75</f>
        <v>0</v>
      </c>
      <c r="B75" s="13">
        <f>'1_Precios'!B75/MAX('1_Precios'!B$2:B75)-1</f>
        <v>0</v>
      </c>
      <c r="C75" s="13">
        <f>'1_Precios'!C75/MAX('1_Precios'!C$2:C75)-1</f>
        <v>0</v>
      </c>
      <c r="D75" s="13">
        <f>'1_Precios'!D75/MAX('1_Precios'!D$2:D75)-1</f>
        <v>0</v>
      </c>
      <c r="E75" s="13">
        <f>'1_Precios'!E75/MAX('1_Precios'!E$2:E75)-1</f>
        <v>0</v>
      </c>
      <c r="F75" s="13">
        <f>'1_Precios'!F75/MAX('1_Precios'!F$2:F75)-1</f>
        <v>0</v>
      </c>
      <c r="G75" s="13">
        <f>'1_Precios'!G75/MAX('1_Precios'!G$2:G75)-1</f>
        <v>0</v>
      </c>
    </row>
    <row r="76" spans="1:7">
      <c r="A76" s="12">
        <f>'1_Precios'!A76</f>
        <v>0</v>
      </c>
      <c r="B76" s="13">
        <f>'1_Precios'!B76/MAX('1_Precios'!B$2:B76)-1</f>
        <v>0</v>
      </c>
      <c r="C76" s="13">
        <f>'1_Precios'!C76/MAX('1_Precios'!C$2:C76)-1</f>
        <v>0</v>
      </c>
      <c r="D76" s="13">
        <f>'1_Precios'!D76/MAX('1_Precios'!D$2:D76)-1</f>
        <v>0</v>
      </c>
      <c r="E76" s="13">
        <f>'1_Precios'!E76/MAX('1_Precios'!E$2:E76)-1</f>
        <v>0</v>
      </c>
      <c r="F76" s="13">
        <f>'1_Precios'!F76/MAX('1_Precios'!F$2:F76)-1</f>
        <v>0</v>
      </c>
      <c r="G76" s="13">
        <f>'1_Precios'!G76/MAX('1_Precios'!G$2:G76)-1</f>
        <v>0</v>
      </c>
    </row>
    <row r="77" spans="1:7">
      <c r="A77" s="12">
        <f>'1_Precios'!A77</f>
        <v>0</v>
      </c>
      <c r="B77" s="13">
        <f>'1_Precios'!B77/MAX('1_Precios'!B$2:B77)-1</f>
        <v>0</v>
      </c>
      <c r="C77" s="13">
        <f>'1_Precios'!C77/MAX('1_Precios'!C$2:C77)-1</f>
        <v>0</v>
      </c>
      <c r="D77" s="13">
        <f>'1_Precios'!D77/MAX('1_Precios'!D$2:D77)-1</f>
        <v>0</v>
      </c>
      <c r="E77" s="13">
        <f>'1_Precios'!E77/MAX('1_Precios'!E$2:E77)-1</f>
        <v>0</v>
      </c>
      <c r="F77" s="13">
        <f>'1_Precios'!F77/MAX('1_Precios'!F$2:F77)-1</f>
        <v>0</v>
      </c>
      <c r="G77" s="13">
        <f>'1_Precios'!G77/MAX('1_Precios'!G$2:G77)-1</f>
        <v>0</v>
      </c>
    </row>
    <row r="78" spans="1:7">
      <c r="A78" s="12">
        <f>'1_Precios'!A78</f>
        <v>0</v>
      </c>
      <c r="B78" s="13">
        <f>'1_Precios'!B78/MAX('1_Precios'!B$2:B78)-1</f>
        <v>0</v>
      </c>
      <c r="C78" s="13">
        <f>'1_Precios'!C78/MAX('1_Precios'!C$2:C78)-1</f>
        <v>0</v>
      </c>
      <c r="D78" s="13">
        <f>'1_Precios'!D78/MAX('1_Precios'!D$2:D78)-1</f>
        <v>0</v>
      </c>
      <c r="E78" s="13">
        <f>'1_Precios'!E78/MAX('1_Precios'!E$2:E78)-1</f>
        <v>0</v>
      </c>
      <c r="F78" s="13">
        <f>'1_Precios'!F78/MAX('1_Precios'!F$2:F78)-1</f>
        <v>0</v>
      </c>
      <c r="G78" s="13">
        <f>'1_Precios'!G78/MAX('1_Precios'!G$2:G78)-1</f>
        <v>0</v>
      </c>
    </row>
    <row r="79" spans="1:7">
      <c r="A79" s="12">
        <f>'1_Precios'!A79</f>
        <v>0</v>
      </c>
      <c r="B79" s="13">
        <f>'1_Precios'!B79/MAX('1_Precios'!B$2:B79)-1</f>
        <v>0</v>
      </c>
      <c r="C79" s="13">
        <f>'1_Precios'!C79/MAX('1_Precios'!C$2:C79)-1</f>
        <v>0</v>
      </c>
      <c r="D79" s="13">
        <f>'1_Precios'!D79/MAX('1_Precios'!D$2:D79)-1</f>
        <v>0</v>
      </c>
      <c r="E79" s="13">
        <f>'1_Precios'!E79/MAX('1_Precios'!E$2:E79)-1</f>
        <v>0</v>
      </c>
      <c r="F79" s="13">
        <f>'1_Precios'!F79/MAX('1_Precios'!F$2:F79)-1</f>
        <v>0</v>
      </c>
      <c r="G79" s="13">
        <f>'1_Precios'!G79/MAX('1_Precios'!G$2:G79)-1</f>
        <v>0</v>
      </c>
    </row>
    <row r="80" spans="1:7">
      <c r="A80" s="12">
        <f>'1_Precios'!A80</f>
        <v>0</v>
      </c>
      <c r="B80" s="13">
        <f>'1_Precios'!B80/MAX('1_Precios'!B$2:B80)-1</f>
        <v>0</v>
      </c>
      <c r="C80" s="13">
        <f>'1_Precios'!C80/MAX('1_Precios'!C$2:C80)-1</f>
        <v>0</v>
      </c>
      <c r="D80" s="13">
        <f>'1_Precios'!D80/MAX('1_Precios'!D$2:D80)-1</f>
        <v>0</v>
      </c>
      <c r="E80" s="13">
        <f>'1_Precios'!E80/MAX('1_Precios'!E$2:E80)-1</f>
        <v>0</v>
      </c>
      <c r="F80" s="13">
        <f>'1_Precios'!F80/MAX('1_Precios'!F$2:F80)-1</f>
        <v>0</v>
      </c>
      <c r="G80" s="13">
        <f>'1_Precios'!G80/MAX('1_Precios'!G$2:G80)-1</f>
        <v>0</v>
      </c>
    </row>
    <row r="81" spans="1:7">
      <c r="A81" s="12">
        <f>'1_Precios'!A81</f>
        <v>0</v>
      </c>
      <c r="B81" s="13">
        <f>'1_Precios'!B81/MAX('1_Precios'!B$2:B81)-1</f>
        <v>0</v>
      </c>
      <c r="C81" s="13">
        <f>'1_Precios'!C81/MAX('1_Precios'!C$2:C81)-1</f>
        <v>0</v>
      </c>
      <c r="D81" s="13">
        <f>'1_Precios'!D81/MAX('1_Precios'!D$2:D81)-1</f>
        <v>0</v>
      </c>
      <c r="E81" s="13">
        <f>'1_Precios'!E81/MAX('1_Precios'!E$2:E81)-1</f>
        <v>0</v>
      </c>
      <c r="F81" s="13">
        <f>'1_Precios'!F81/MAX('1_Precios'!F$2:F81)-1</f>
        <v>0</v>
      </c>
      <c r="G81" s="13">
        <f>'1_Precios'!G81/MAX('1_Precios'!G$2:G81)-1</f>
        <v>0</v>
      </c>
    </row>
    <row r="82" spans="1:7">
      <c r="A82" s="12">
        <f>'1_Precios'!A82</f>
        <v>0</v>
      </c>
      <c r="B82" s="13">
        <f>'1_Precios'!B82/MAX('1_Precios'!B$2:B82)-1</f>
        <v>0</v>
      </c>
      <c r="C82" s="13">
        <f>'1_Precios'!C82/MAX('1_Precios'!C$2:C82)-1</f>
        <v>0</v>
      </c>
      <c r="D82" s="13">
        <f>'1_Precios'!D82/MAX('1_Precios'!D$2:D82)-1</f>
        <v>0</v>
      </c>
      <c r="E82" s="13">
        <f>'1_Precios'!E82/MAX('1_Precios'!E$2:E82)-1</f>
        <v>0</v>
      </c>
      <c r="F82" s="13">
        <f>'1_Precios'!F82/MAX('1_Precios'!F$2:F82)-1</f>
        <v>0</v>
      </c>
      <c r="G82" s="13">
        <f>'1_Precios'!G82/MAX('1_Precios'!G$2:G82)-1</f>
        <v>0</v>
      </c>
    </row>
    <row r="83" spans="1:7">
      <c r="A83" s="12">
        <f>'1_Precios'!A83</f>
        <v>0</v>
      </c>
      <c r="B83" s="13">
        <f>'1_Precios'!B83/MAX('1_Precios'!B$2:B83)-1</f>
        <v>0</v>
      </c>
      <c r="C83" s="13">
        <f>'1_Precios'!C83/MAX('1_Precios'!C$2:C83)-1</f>
        <v>0</v>
      </c>
      <c r="D83" s="13">
        <f>'1_Precios'!D83/MAX('1_Precios'!D$2:D83)-1</f>
        <v>0</v>
      </c>
      <c r="E83" s="13">
        <f>'1_Precios'!E83/MAX('1_Precios'!E$2:E83)-1</f>
        <v>0</v>
      </c>
      <c r="F83" s="13">
        <f>'1_Precios'!F83/MAX('1_Precios'!F$2:F83)-1</f>
        <v>0</v>
      </c>
      <c r="G83" s="13">
        <f>'1_Precios'!G83/MAX('1_Precios'!G$2:G83)-1</f>
        <v>0</v>
      </c>
    </row>
    <row r="84" spans="1:7">
      <c r="A84" s="12">
        <f>'1_Precios'!A84</f>
        <v>0</v>
      </c>
      <c r="B84" s="13">
        <f>'1_Precios'!B84/MAX('1_Precios'!B$2:B84)-1</f>
        <v>0</v>
      </c>
      <c r="C84" s="13">
        <f>'1_Precios'!C84/MAX('1_Precios'!C$2:C84)-1</f>
        <v>0</v>
      </c>
      <c r="D84" s="13">
        <f>'1_Precios'!D84/MAX('1_Precios'!D$2:D84)-1</f>
        <v>0</v>
      </c>
      <c r="E84" s="13">
        <f>'1_Precios'!E84/MAX('1_Precios'!E$2:E84)-1</f>
        <v>0</v>
      </c>
      <c r="F84" s="13">
        <f>'1_Precios'!F84/MAX('1_Precios'!F$2:F84)-1</f>
        <v>0</v>
      </c>
      <c r="G84" s="13">
        <f>'1_Precios'!G84/MAX('1_Precios'!G$2:G84)-1</f>
        <v>0</v>
      </c>
    </row>
    <row r="85" spans="1:7">
      <c r="A85" s="12">
        <f>'1_Precios'!A85</f>
        <v>0</v>
      </c>
      <c r="B85" s="13">
        <f>'1_Precios'!B85/MAX('1_Precios'!B$2:B85)-1</f>
        <v>0</v>
      </c>
      <c r="C85" s="13">
        <f>'1_Precios'!C85/MAX('1_Precios'!C$2:C85)-1</f>
        <v>0</v>
      </c>
      <c r="D85" s="13">
        <f>'1_Precios'!D85/MAX('1_Precios'!D$2:D85)-1</f>
        <v>0</v>
      </c>
      <c r="E85" s="13">
        <f>'1_Precios'!E85/MAX('1_Precios'!E$2:E85)-1</f>
        <v>0</v>
      </c>
      <c r="F85" s="13">
        <f>'1_Precios'!F85/MAX('1_Precios'!F$2:F85)-1</f>
        <v>0</v>
      </c>
      <c r="G85" s="13">
        <f>'1_Precios'!G85/MAX('1_Precios'!G$2:G85)-1</f>
        <v>0</v>
      </c>
    </row>
    <row r="86" spans="1:7">
      <c r="A86" s="12">
        <f>'1_Precios'!A86</f>
        <v>0</v>
      </c>
      <c r="B86" s="13">
        <f>'1_Precios'!B86/MAX('1_Precios'!B$2:B86)-1</f>
        <v>0</v>
      </c>
      <c r="C86" s="13">
        <f>'1_Precios'!C86/MAX('1_Precios'!C$2:C86)-1</f>
        <v>0</v>
      </c>
      <c r="D86" s="13">
        <f>'1_Precios'!D86/MAX('1_Precios'!D$2:D86)-1</f>
        <v>0</v>
      </c>
      <c r="E86" s="13">
        <f>'1_Precios'!E86/MAX('1_Precios'!E$2:E86)-1</f>
        <v>0</v>
      </c>
      <c r="F86" s="13">
        <f>'1_Precios'!F86/MAX('1_Precios'!F$2:F86)-1</f>
        <v>0</v>
      </c>
      <c r="G86" s="13">
        <f>'1_Precios'!G86/MAX('1_Precios'!G$2:G86)-1</f>
        <v>0</v>
      </c>
    </row>
    <row r="87" spans="1:7">
      <c r="A87" s="12">
        <f>'1_Precios'!A87</f>
        <v>0</v>
      </c>
      <c r="B87" s="13">
        <f>'1_Precios'!B87/MAX('1_Precios'!B$2:B87)-1</f>
        <v>0</v>
      </c>
      <c r="C87" s="13">
        <f>'1_Precios'!C87/MAX('1_Precios'!C$2:C87)-1</f>
        <v>0</v>
      </c>
      <c r="D87" s="13">
        <f>'1_Precios'!D87/MAX('1_Precios'!D$2:D87)-1</f>
        <v>0</v>
      </c>
      <c r="E87" s="13">
        <f>'1_Precios'!E87/MAX('1_Precios'!E$2:E87)-1</f>
        <v>0</v>
      </c>
      <c r="F87" s="13">
        <f>'1_Precios'!F87/MAX('1_Precios'!F$2:F87)-1</f>
        <v>0</v>
      </c>
      <c r="G87" s="13">
        <f>'1_Precios'!G87/MAX('1_Precios'!G$2:G87)-1</f>
        <v>0</v>
      </c>
    </row>
    <row r="88" spans="1:7">
      <c r="A88" s="12">
        <f>'1_Precios'!A88</f>
        <v>0</v>
      </c>
      <c r="B88" s="13">
        <f>'1_Precios'!B88/MAX('1_Precios'!B$2:B88)-1</f>
        <v>0</v>
      </c>
      <c r="C88" s="13">
        <f>'1_Precios'!C88/MAX('1_Precios'!C$2:C88)-1</f>
        <v>0</v>
      </c>
      <c r="D88" s="13">
        <f>'1_Precios'!D88/MAX('1_Precios'!D$2:D88)-1</f>
        <v>0</v>
      </c>
      <c r="E88" s="13">
        <f>'1_Precios'!E88/MAX('1_Precios'!E$2:E88)-1</f>
        <v>0</v>
      </c>
      <c r="F88" s="13">
        <f>'1_Precios'!F88/MAX('1_Precios'!F$2:F88)-1</f>
        <v>0</v>
      </c>
      <c r="G88" s="13">
        <f>'1_Precios'!G88/MAX('1_Precios'!G$2:G88)-1</f>
        <v>0</v>
      </c>
    </row>
    <row r="89" spans="1:7">
      <c r="A89" s="12">
        <f>'1_Precios'!A89</f>
        <v>0</v>
      </c>
      <c r="B89" s="13">
        <f>'1_Precios'!B89/MAX('1_Precios'!B$2:B89)-1</f>
        <v>0</v>
      </c>
      <c r="C89" s="13">
        <f>'1_Precios'!C89/MAX('1_Precios'!C$2:C89)-1</f>
        <v>0</v>
      </c>
      <c r="D89" s="13">
        <f>'1_Precios'!D89/MAX('1_Precios'!D$2:D89)-1</f>
        <v>0</v>
      </c>
      <c r="E89" s="13">
        <f>'1_Precios'!E89/MAX('1_Precios'!E$2:E89)-1</f>
        <v>0</v>
      </c>
      <c r="F89" s="13">
        <f>'1_Precios'!F89/MAX('1_Precios'!F$2:F89)-1</f>
        <v>0</v>
      </c>
      <c r="G89" s="13">
        <f>'1_Precios'!G89/MAX('1_Precios'!G$2:G89)-1</f>
        <v>0</v>
      </c>
    </row>
    <row r="90" spans="1:7">
      <c r="A90" s="12">
        <f>'1_Precios'!A90</f>
        <v>0</v>
      </c>
      <c r="B90" s="13">
        <f>'1_Precios'!B90/MAX('1_Precios'!B$2:B90)-1</f>
        <v>0</v>
      </c>
      <c r="C90" s="13">
        <f>'1_Precios'!C90/MAX('1_Precios'!C$2:C90)-1</f>
        <v>0</v>
      </c>
      <c r="D90" s="13">
        <f>'1_Precios'!D90/MAX('1_Precios'!D$2:D90)-1</f>
        <v>0</v>
      </c>
      <c r="E90" s="13">
        <f>'1_Precios'!E90/MAX('1_Precios'!E$2:E90)-1</f>
        <v>0</v>
      </c>
      <c r="F90" s="13">
        <f>'1_Precios'!F90/MAX('1_Precios'!F$2:F90)-1</f>
        <v>0</v>
      </c>
      <c r="G90" s="13">
        <f>'1_Precios'!G90/MAX('1_Precios'!G$2:G90)-1</f>
        <v>0</v>
      </c>
    </row>
    <row r="91" spans="1:7">
      <c r="A91" s="12">
        <f>'1_Precios'!A91</f>
        <v>0</v>
      </c>
      <c r="B91" s="13">
        <f>'1_Precios'!B91/MAX('1_Precios'!B$2:B91)-1</f>
        <v>0</v>
      </c>
      <c r="C91" s="13">
        <f>'1_Precios'!C91/MAX('1_Precios'!C$2:C91)-1</f>
        <v>0</v>
      </c>
      <c r="D91" s="13">
        <f>'1_Precios'!D91/MAX('1_Precios'!D$2:D91)-1</f>
        <v>0</v>
      </c>
      <c r="E91" s="13">
        <f>'1_Precios'!E91/MAX('1_Precios'!E$2:E91)-1</f>
        <v>0</v>
      </c>
      <c r="F91" s="13">
        <f>'1_Precios'!F91/MAX('1_Precios'!F$2:F91)-1</f>
        <v>0</v>
      </c>
      <c r="G91" s="13">
        <f>'1_Precios'!G91/MAX('1_Precios'!G$2:G91)-1</f>
        <v>0</v>
      </c>
    </row>
    <row r="92" spans="1:7">
      <c r="A92" s="12">
        <f>'1_Precios'!A92</f>
        <v>0</v>
      </c>
      <c r="B92" s="13">
        <f>'1_Precios'!B92/MAX('1_Precios'!B$2:B92)-1</f>
        <v>0</v>
      </c>
      <c r="C92" s="13">
        <f>'1_Precios'!C92/MAX('1_Precios'!C$2:C92)-1</f>
        <v>0</v>
      </c>
      <c r="D92" s="13">
        <f>'1_Precios'!D92/MAX('1_Precios'!D$2:D92)-1</f>
        <v>0</v>
      </c>
      <c r="E92" s="13">
        <f>'1_Precios'!E92/MAX('1_Precios'!E$2:E92)-1</f>
        <v>0</v>
      </c>
      <c r="F92" s="13">
        <f>'1_Precios'!F92/MAX('1_Precios'!F$2:F92)-1</f>
        <v>0</v>
      </c>
      <c r="G92" s="13">
        <f>'1_Precios'!G92/MAX('1_Precios'!G$2:G92)-1</f>
        <v>0</v>
      </c>
    </row>
    <row r="93" spans="1:7">
      <c r="A93" s="12">
        <f>'1_Precios'!A93</f>
        <v>0</v>
      </c>
      <c r="B93" s="13">
        <f>'1_Precios'!B93/MAX('1_Precios'!B$2:B93)-1</f>
        <v>0</v>
      </c>
      <c r="C93" s="13">
        <f>'1_Precios'!C93/MAX('1_Precios'!C$2:C93)-1</f>
        <v>0</v>
      </c>
      <c r="D93" s="13">
        <f>'1_Precios'!D93/MAX('1_Precios'!D$2:D93)-1</f>
        <v>0</v>
      </c>
      <c r="E93" s="13">
        <f>'1_Precios'!E93/MAX('1_Precios'!E$2:E93)-1</f>
        <v>0</v>
      </c>
      <c r="F93" s="13">
        <f>'1_Precios'!F93/MAX('1_Precios'!F$2:F93)-1</f>
        <v>0</v>
      </c>
      <c r="G93" s="13">
        <f>'1_Precios'!G93/MAX('1_Precios'!G$2:G93)-1</f>
        <v>0</v>
      </c>
    </row>
    <row r="94" spans="1:7">
      <c r="A94" s="12">
        <f>'1_Precios'!A94</f>
        <v>0</v>
      </c>
      <c r="B94" s="13">
        <f>'1_Precios'!B94/MAX('1_Precios'!B$2:B94)-1</f>
        <v>0</v>
      </c>
      <c r="C94" s="13">
        <f>'1_Precios'!C94/MAX('1_Precios'!C$2:C94)-1</f>
        <v>0</v>
      </c>
      <c r="D94" s="13">
        <f>'1_Precios'!D94/MAX('1_Precios'!D$2:D94)-1</f>
        <v>0</v>
      </c>
      <c r="E94" s="13">
        <f>'1_Precios'!E94/MAX('1_Precios'!E$2:E94)-1</f>
        <v>0</v>
      </c>
      <c r="F94" s="13">
        <f>'1_Precios'!F94/MAX('1_Precios'!F$2:F94)-1</f>
        <v>0</v>
      </c>
      <c r="G94" s="13">
        <f>'1_Precios'!G94/MAX('1_Precios'!G$2:G94)-1</f>
        <v>0</v>
      </c>
    </row>
    <row r="95" spans="1:7">
      <c r="A95" s="12">
        <f>'1_Precios'!A95</f>
        <v>0</v>
      </c>
      <c r="B95" s="13">
        <f>'1_Precios'!B95/MAX('1_Precios'!B$2:B95)-1</f>
        <v>0</v>
      </c>
      <c r="C95" s="13">
        <f>'1_Precios'!C95/MAX('1_Precios'!C$2:C95)-1</f>
        <v>0</v>
      </c>
      <c r="D95" s="13">
        <f>'1_Precios'!D95/MAX('1_Precios'!D$2:D95)-1</f>
        <v>0</v>
      </c>
      <c r="E95" s="13">
        <f>'1_Precios'!E95/MAX('1_Precios'!E$2:E95)-1</f>
        <v>0</v>
      </c>
      <c r="F95" s="13">
        <f>'1_Precios'!F95/MAX('1_Precios'!F$2:F95)-1</f>
        <v>0</v>
      </c>
      <c r="G95" s="13">
        <f>'1_Precios'!G95/MAX('1_Precios'!G$2:G95)-1</f>
        <v>0</v>
      </c>
    </row>
    <row r="96" spans="1:7">
      <c r="A96" s="12">
        <f>'1_Precios'!A96</f>
        <v>0</v>
      </c>
      <c r="B96" s="13">
        <f>'1_Precios'!B96/MAX('1_Precios'!B$2:B96)-1</f>
        <v>0</v>
      </c>
      <c r="C96" s="13">
        <f>'1_Precios'!C96/MAX('1_Precios'!C$2:C96)-1</f>
        <v>0</v>
      </c>
      <c r="D96" s="13">
        <f>'1_Precios'!D96/MAX('1_Precios'!D$2:D96)-1</f>
        <v>0</v>
      </c>
      <c r="E96" s="13">
        <f>'1_Precios'!E96/MAX('1_Precios'!E$2:E96)-1</f>
        <v>0</v>
      </c>
      <c r="F96" s="13">
        <f>'1_Precios'!F96/MAX('1_Precios'!F$2:F96)-1</f>
        <v>0</v>
      </c>
      <c r="G96" s="13">
        <f>'1_Precios'!G96/MAX('1_Precios'!G$2:G96)-1</f>
        <v>0</v>
      </c>
    </row>
    <row r="97" spans="1:7">
      <c r="A97" s="12">
        <f>'1_Precios'!A97</f>
        <v>0</v>
      </c>
      <c r="B97" s="13">
        <f>'1_Precios'!B97/MAX('1_Precios'!B$2:B97)-1</f>
        <v>0</v>
      </c>
      <c r="C97" s="13">
        <f>'1_Precios'!C97/MAX('1_Precios'!C$2:C97)-1</f>
        <v>0</v>
      </c>
      <c r="D97" s="13">
        <f>'1_Precios'!D97/MAX('1_Precios'!D$2:D97)-1</f>
        <v>0</v>
      </c>
      <c r="E97" s="13">
        <f>'1_Precios'!E97/MAX('1_Precios'!E$2:E97)-1</f>
        <v>0</v>
      </c>
      <c r="F97" s="13">
        <f>'1_Precios'!F97/MAX('1_Precios'!F$2:F97)-1</f>
        <v>0</v>
      </c>
      <c r="G97" s="13">
        <f>'1_Precios'!G97/MAX('1_Precios'!G$2:G97)-1</f>
        <v>0</v>
      </c>
    </row>
    <row r="98" spans="1:7">
      <c r="A98" s="12">
        <f>'1_Precios'!A98</f>
        <v>0</v>
      </c>
      <c r="B98" s="13">
        <f>'1_Precios'!B98/MAX('1_Precios'!B$2:B98)-1</f>
        <v>0</v>
      </c>
      <c r="C98" s="13">
        <f>'1_Precios'!C98/MAX('1_Precios'!C$2:C98)-1</f>
        <v>0</v>
      </c>
      <c r="D98" s="13">
        <f>'1_Precios'!D98/MAX('1_Precios'!D$2:D98)-1</f>
        <v>0</v>
      </c>
      <c r="E98" s="13">
        <f>'1_Precios'!E98/MAX('1_Precios'!E$2:E98)-1</f>
        <v>0</v>
      </c>
      <c r="F98" s="13">
        <f>'1_Precios'!F98/MAX('1_Precios'!F$2:F98)-1</f>
        <v>0</v>
      </c>
      <c r="G98" s="13">
        <f>'1_Precios'!G98/MAX('1_Precios'!G$2:G98)-1</f>
        <v>0</v>
      </c>
    </row>
    <row r="99" spans="1:7">
      <c r="A99" s="12">
        <f>'1_Precios'!A99</f>
        <v>0</v>
      </c>
      <c r="B99" s="13">
        <f>'1_Precios'!B99/MAX('1_Precios'!B$2:B99)-1</f>
        <v>0</v>
      </c>
      <c r="C99" s="13">
        <f>'1_Precios'!C99/MAX('1_Precios'!C$2:C99)-1</f>
        <v>0</v>
      </c>
      <c r="D99" s="13">
        <f>'1_Precios'!D99/MAX('1_Precios'!D$2:D99)-1</f>
        <v>0</v>
      </c>
      <c r="E99" s="13">
        <f>'1_Precios'!E99/MAX('1_Precios'!E$2:E99)-1</f>
        <v>0</v>
      </c>
      <c r="F99" s="13">
        <f>'1_Precios'!F99/MAX('1_Precios'!F$2:F99)-1</f>
        <v>0</v>
      </c>
      <c r="G99" s="13">
        <f>'1_Precios'!G99/MAX('1_Precios'!G$2:G99)-1</f>
        <v>0</v>
      </c>
    </row>
    <row r="100" spans="1:7">
      <c r="A100" s="12">
        <f>'1_Precios'!A100</f>
        <v>0</v>
      </c>
      <c r="B100" s="13">
        <f>'1_Precios'!B100/MAX('1_Precios'!B$2:B100)-1</f>
        <v>0</v>
      </c>
      <c r="C100" s="13">
        <f>'1_Precios'!C100/MAX('1_Precios'!C$2:C100)-1</f>
        <v>0</v>
      </c>
      <c r="D100" s="13">
        <f>'1_Precios'!D100/MAX('1_Precios'!D$2:D100)-1</f>
        <v>0</v>
      </c>
      <c r="E100" s="13">
        <f>'1_Precios'!E100/MAX('1_Precios'!E$2:E100)-1</f>
        <v>0</v>
      </c>
      <c r="F100" s="13">
        <f>'1_Precios'!F100/MAX('1_Precios'!F$2:F100)-1</f>
        <v>0</v>
      </c>
      <c r="G100" s="13">
        <f>'1_Precios'!G100/MAX('1_Precios'!G$2:G100)-1</f>
        <v>0</v>
      </c>
    </row>
    <row r="101" spans="1:7">
      <c r="A101" s="12">
        <f>'1_Precios'!A101</f>
        <v>0</v>
      </c>
      <c r="B101" s="13">
        <f>'1_Precios'!B101/MAX('1_Precios'!B$2:B101)-1</f>
        <v>0</v>
      </c>
      <c r="C101" s="13">
        <f>'1_Precios'!C101/MAX('1_Precios'!C$2:C101)-1</f>
        <v>0</v>
      </c>
      <c r="D101" s="13">
        <f>'1_Precios'!D101/MAX('1_Precios'!D$2:D101)-1</f>
        <v>0</v>
      </c>
      <c r="E101" s="13">
        <f>'1_Precios'!E101/MAX('1_Precios'!E$2:E101)-1</f>
        <v>0</v>
      </c>
      <c r="F101" s="13">
        <f>'1_Precios'!F101/MAX('1_Precios'!F$2:F101)-1</f>
        <v>0</v>
      </c>
      <c r="G101" s="13">
        <f>'1_Precios'!G101/MAX('1_Precios'!G$2:G101)-1</f>
        <v>0</v>
      </c>
    </row>
    <row r="102" spans="1:7">
      <c r="A102" s="12">
        <f>'1_Precios'!A102</f>
        <v>0</v>
      </c>
      <c r="B102" s="13">
        <f>'1_Precios'!B102/MAX('1_Precios'!B$2:B102)-1</f>
        <v>0</v>
      </c>
      <c r="C102" s="13">
        <f>'1_Precios'!C102/MAX('1_Precios'!C$2:C102)-1</f>
        <v>0</v>
      </c>
      <c r="D102" s="13">
        <f>'1_Precios'!D102/MAX('1_Precios'!D$2:D102)-1</f>
        <v>0</v>
      </c>
      <c r="E102" s="13">
        <f>'1_Precios'!E102/MAX('1_Precios'!E$2:E102)-1</f>
        <v>0</v>
      </c>
      <c r="F102" s="13">
        <f>'1_Precios'!F102/MAX('1_Precios'!F$2:F102)-1</f>
        <v>0</v>
      </c>
      <c r="G102" s="13">
        <f>'1_Precios'!G102/MAX('1_Precios'!G$2:G102)-1</f>
        <v>0</v>
      </c>
    </row>
    <row r="103" spans="1:7">
      <c r="A103" s="12">
        <f>'1_Precios'!A103</f>
        <v>0</v>
      </c>
      <c r="B103" s="13">
        <f>'1_Precios'!B103/MAX('1_Precios'!B$2:B103)-1</f>
        <v>0</v>
      </c>
      <c r="C103" s="13">
        <f>'1_Precios'!C103/MAX('1_Precios'!C$2:C103)-1</f>
        <v>0</v>
      </c>
      <c r="D103" s="13">
        <f>'1_Precios'!D103/MAX('1_Precios'!D$2:D103)-1</f>
        <v>0</v>
      </c>
      <c r="E103" s="13">
        <f>'1_Precios'!E103/MAX('1_Precios'!E$2:E103)-1</f>
        <v>0</v>
      </c>
      <c r="F103" s="13">
        <f>'1_Precios'!F103/MAX('1_Precios'!F$2:F103)-1</f>
        <v>0</v>
      </c>
      <c r="G103" s="13">
        <f>'1_Precios'!G103/MAX('1_Precios'!G$2:G103)-1</f>
        <v>0</v>
      </c>
    </row>
    <row r="104" spans="1:7">
      <c r="A104" s="12">
        <f>'1_Precios'!A104</f>
        <v>0</v>
      </c>
      <c r="B104" s="13">
        <f>'1_Precios'!B104/MAX('1_Precios'!B$2:B104)-1</f>
        <v>0</v>
      </c>
      <c r="C104" s="13">
        <f>'1_Precios'!C104/MAX('1_Precios'!C$2:C104)-1</f>
        <v>0</v>
      </c>
      <c r="D104" s="13">
        <f>'1_Precios'!D104/MAX('1_Precios'!D$2:D104)-1</f>
        <v>0</v>
      </c>
      <c r="E104" s="13">
        <f>'1_Precios'!E104/MAX('1_Precios'!E$2:E104)-1</f>
        <v>0</v>
      </c>
      <c r="F104" s="13">
        <f>'1_Precios'!F104/MAX('1_Precios'!F$2:F104)-1</f>
        <v>0</v>
      </c>
      <c r="G104" s="13">
        <f>'1_Precios'!G104/MAX('1_Precios'!G$2:G104)-1</f>
        <v>0</v>
      </c>
    </row>
    <row r="105" spans="1:7">
      <c r="A105" s="12">
        <f>'1_Precios'!A105</f>
        <v>0</v>
      </c>
      <c r="B105" s="13">
        <f>'1_Precios'!B105/MAX('1_Precios'!B$2:B105)-1</f>
        <v>0</v>
      </c>
      <c r="C105" s="13">
        <f>'1_Precios'!C105/MAX('1_Precios'!C$2:C105)-1</f>
        <v>0</v>
      </c>
      <c r="D105" s="13">
        <f>'1_Precios'!D105/MAX('1_Precios'!D$2:D105)-1</f>
        <v>0</v>
      </c>
      <c r="E105" s="13">
        <f>'1_Precios'!E105/MAX('1_Precios'!E$2:E105)-1</f>
        <v>0</v>
      </c>
      <c r="F105" s="13">
        <f>'1_Precios'!F105/MAX('1_Precios'!F$2:F105)-1</f>
        <v>0</v>
      </c>
      <c r="G105" s="13">
        <f>'1_Precios'!G105/MAX('1_Precios'!G$2:G105)-1</f>
        <v>0</v>
      </c>
    </row>
    <row r="106" spans="1:7">
      <c r="A106" s="12">
        <f>'1_Precios'!A106</f>
        <v>0</v>
      </c>
      <c r="B106" s="13">
        <f>'1_Precios'!B106/MAX('1_Precios'!B$2:B106)-1</f>
        <v>0</v>
      </c>
      <c r="C106" s="13">
        <f>'1_Precios'!C106/MAX('1_Precios'!C$2:C106)-1</f>
        <v>0</v>
      </c>
      <c r="D106" s="13">
        <f>'1_Precios'!D106/MAX('1_Precios'!D$2:D106)-1</f>
        <v>0</v>
      </c>
      <c r="E106" s="13">
        <f>'1_Precios'!E106/MAX('1_Precios'!E$2:E106)-1</f>
        <v>0</v>
      </c>
      <c r="F106" s="13">
        <f>'1_Precios'!F106/MAX('1_Precios'!F$2:F106)-1</f>
        <v>0</v>
      </c>
      <c r="G106" s="13">
        <f>'1_Precios'!G106/MAX('1_Precios'!G$2:G106)-1</f>
        <v>0</v>
      </c>
    </row>
    <row r="107" spans="1:7">
      <c r="A107" s="12">
        <f>'1_Precios'!A107</f>
        <v>0</v>
      </c>
      <c r="B107" s="13">
        <f>'1_Precios'!B107/MAX('1_Precios'!B$2:B107)-1</f>
        <v>0</v>
      </c>
      <c r="C107" s="13">
        <f>'1_Precios'!C107/MAX('1_Precios'!C$2:C107)-1</f>
        <v>0</v>
      </c>
      <c r="D107" s="13">
        <f>'1_Precios'!D107/MAX('1_Precios'!D$2:D107)-1</f>
        <v>0</v>
      </c>
      <c r="E107" s="13">
        <f>'1_Precios'!E107/MAX('1_Precios'!E$2:E107)-1</f>
        <v>0</v>
      </c>
      <c r="F107" s="13">
        <f>'1_Precios'!F107/MAX('1_Precios'!F$2:F107)-1</f>
        <v>0</v>
      </c>
      <c r="G107" s="13">
        <f>'1_Precios'!G107/MAX('1_Precios'!G$2:G107)-1</f>
        <v>0</v>
      </c>
    </row>
    <row r="108" spans="1:7">
      <c r="A108" s="12">
        <f>'1_Precios'!A108</f>
        <v>0</v>
      </c>
      <c r="B108" s="13">
        <f>'1_Precios'!B108/MAX('1_Precios'!B$2:B108)-1</f>
        <v>0</v>
      </c>
      <c r="C108" s="13">
        <f>'1_Precios'!C108/MAX('1_Precios'!C$2:C108)-1</f>
        <v>0</v>
      </c>
      <c r="D108" s="13">
        <f>'1_Precios'!D108/MAX('1_Precios'!D$2:D108)-1</f>
        <v>0</v>
      </c>
      <c r="E108" s="13">
        <f>'1_Precios'!E108/MAX('1_Precios'!E$2:E108)-1</f>
        <v>0</v>
      </c>
      <c r="F108" s="13">
        <f>'1_Precios'!F108/MAX('1_Precios'!F$2:F108)-1</f>
        <v>0</v>
      </c>
      <c r="G108" s="13">
        <f>'1_Precios'!G108/MAX('1_Precios'!G$2:G108)-1</f>
        <v>0</v>
      </c>
    </row>
    <row r="109" spans="1:7">
      <c r="A109" s="12">
        <f>'1_Precios'!A109</f>
        <v>0</v>
      </c>
      <c r="B109" s="13">
        <f>'1_Precios'!B109/MAX('1_Precios'!B$2:B109)-1</f>
        <v>0</v>
      </c>
      <c r="C109" s="13">
        <f>'1_Precios'!C109/MAX('1_Precios'!C$2:C109)-1</f>
        <v>0</v>
      </c>
      <c r="D109" s="13">
        <f>'1_Precios'!D109/MAX('1_Precios'!D$2:D109)-1</f>
        <v>0</v>
      </c>
      <c r="E109" s="13">
        <f>'1_Precios'!E109/MAX('1_Precios'!E$2:E109)-1</f>
        <v>0</v>
      </c>
      <c r="F109" s="13">
        <f>'1_Precios'!F109/MAX('1_Precios'!F$2:F109)-1</f>
        <v>0</v>
      </c>
      <c r="G109" s="13">
        <f>'1_Precios'!G109/MAX('1_Precios'!G$2:G109)-1</f>
        <v>0</v>
      </c>
    </row>
    <row r="110" spans="1:7">
      <c r="A110" s="12">
        <f>'1_Precios'!A110</f>
        <v>0</v>
      </c>
      <c r="B110" s="13">
        <f>'1_Precios'!B110/MAX('1_Precios'!B$2:B110)-1</f>
        <v>0</v>
      </c>
      <c r="C110" s="13">
        <f>'1_Precios'!C110/MAX('1_Precios'!C$2:C110)-1</f>
        <v>0</v>
      </c>
      <c r="D110" s="13">
        <f>'1_Precios'!D110/MAX('1_Precios'!D$2:D110)-1</f>
        <v>0</v>
      </c>
      <c r="E110" s="13">
        <f>'1_Precios'!E110/MAX('1_Precios'!E$2:E110)-1</f>
        <v>0</v>
      </c>
      <c r="F110" s="13">
        <f>'1_Precios'!F110/MAX('1_Precios'!F$2:F110)-1</f>
        <v>0</v>
      </c>
      <c r="G110" s="13">
        <f>'1_Precios'!G110/MAX('1_Precios'!G$2:G110)-1</f>
        <v>0</v>
      </c>
    </row>
    <row r="111" spans="1:7">
      <c r="A111" s="12">
        <f>'1_Precios'!A111</f>
        <v>0</v>
      </c>
      <c r="B111" s="13">
        <f>'1_Precios'!B111/MAX('1_Precios'!B$2:B111)-1</f>
        <v>0</v>
      </c>
      <c r="C111" s="13">
        <f>'1_Precios'!C111/MAX('1_Precios'!C$2:C111)-1</f>
        <v>0</v>
      </c>
      <c r="D111" s="13">
        <f>'1_Precios'!D111/MAX('1_Precios'!D$2:D111)-1</f>
        <v>0</v>
      </c>
      <c r="E111" s="13">
        <f>'1_Precios'!E111/MAX('1_Precios'!E$2:E111)-1</f>
        <v>0</v>
      </c>
      <c r="F111" s="13">
        <f>'1_Precios'!F111/MAX('1_Precios'!F$2:F111)-1</f>
        <v>0</v>
      </c>
      <c r="G111" s="13">
        <f>'1_Precios'!G111/MAX('1_Precios'!G$2:G111)-1</f>
        <v>0</v>
      </c>
    </row>
    <row r="112" spans="1:7">
      <c r="A112" s="12">
        <f>'1_Precios'!A112</f>
        <v>0</v>
      </c>
      <c r="B112" s="13">
        <f>'1_Precios'!B112/MAX('1_Precios'!B$2:B112)-1</f>
        <v>0</v>
      </c>
      <c r="C112" s="13">
        <f>'1_Precios'!C112/MAX('1_Precios'!C$2:C112)-1</f>
        <v>0</v>
      </c>
      <c r="D112" s="13">
        <f>'1_Precios'!D112/MAX('1_Precios'!D$2:D112)-1</f>
        <v>0</v>
      </c>
      <c r="E112" s="13">
        <f>'1_Precios'!E112/MAX('1_Precios'!E$2:E112)-1</f>
        <v>0</v>
      </c>
      <c r="F112" s="13">
        <f>'1_Precios'!F112/MAX('1_Precios'!F$2:F112)-1</f>
        <v>0</v>
      </c>
      <c r="G112" s="13">
        <f>'1_Precios'!G112/MAX('1_Precios'!G$2:G112)-1</f>
        <v>0</v>
      </c>
    </row>
    <row r="113" spans="1:7">
      <c r="A113" s="12">
        <f>'1_Precios'!A113</f>
        <v>0</v>
      </c>
      <c r="B113" s="13">
        <f>'1_Precios'!B113/MAX('1_Precios'!B$2:B113)-1</f>
        <v>0</v>
      </c>
      <c r="C113" s="13">
        <f>'1_Precios'!C113/MAX('1_Precios'!C$2:C113)-1</f>
        <v>0</v>
      </c>
      <c r="D113" s="13">
        <f>'1_Precios'!D113/MAX('1_Precios'!D$2:D113)-1</f>
        <v>0</v>
      </c>
      <c r="E113" s="13">
        <f>'1_Precios'!E113/MAX('1_Precios'!E$2:E113)-1</f>
        <v>0</v>
      </c>
      <c r="F113" s="13">
        <f>'1_Precios'!F113/MAX('1_Precios'!F$2:F113)-1</f>
        <v>0</v>
      </c>
      <c r="G113" s="13">
        <f>'1_Precios'!G113/MAX('1_Precios'!G$2:G113)-1</f>
        <v>0</v>
      </c>
    </row>
    <row r="114" spans="1:7">
      <c r="A114" s="12">
        <f>'1_Precios'!A114</f>
        <v>0</v>
      </c>
      <c r="B114" s="13">
        <f>'1_Precios'!B114/MAX('1_Precios'!B$2:B114)-1</f>
        <v>0</v>
      </c>
      <c r="C114" s="13">
        <f>'1_Precios'!C114/MAX('1_Precios'!C$2:C114)-1</f>
        <v>0</v>
      </c>
      <c r="D114" s="13">
        <f>'1_Precios'!D114/MAX('1_Precios'!D$2:D114)-1</f>
        <v>0</v>
      </c>
      <c r="E114" s="13">
        <f>'1_Precios'!E114/MAX('1_Precios'!E$2:E114)-1</f>
        <v>0</v>
      </c>
      <c r="F114" s="13">
        <f>'1_Precios'!F114/MAX('1_Precios'!F$2:F114)-1</f>
        <v>0</v>
      </c>
      <c r="G114" s="13">
        <f>'1_Precios'!G114/MAX('1_Precios'!G$2:G114)-1</f>
        <v>0</v>
      </c>
    </row>
    <row r="115" spans="1:7">
      <c r="A115" s="12">
        <f>'1_Precios'!A115</f>
        <v>0</v>
      </c>
      <c r="B115" s="13">
        <f>'1_Precios'!B115/MAX('1_Precios'!B$2:B115)-1</f>
        <v>0</v>
      </c>
      <c r="C115" s="13">
        <f>'1_Precios'!C115/MAX('1_Precios'!C$2:C115)-1</f>
        <v>0</v>
      </c>
      <c r="D115" s="13">
        <f>'1_Precios'!D115/MAX('1_Precios'!D$2:D115)-1</f>
        <v>0</v>
      </c>
      <c r="E115" s="13">
        <f>'1_Precios'!E115/MAX('1_Precios'!E$2:E115)-1</f>
        <v>0</v>
      </c>
      <c r="F115" s="13">
        <f>'1_Precios'!F115/MAX('1_Precios'!F$2:F115)-1</f>
        <v>0</v>
      </c>
      <c r="G115" s="13">
        <f>'1_Precios'!G115/MAX('1_Precios'!G$2:G115)-1</f>
        <v>0</v>
      </c>
    </row>
    <row r="116" spans="1:7">
      <c r="A116" s="12">
        <f>'1_Precios'!A116</f>
        <v>0</v>
      </c>
      <c r="B116" s="13">
        <f>'1_Precios'!B116/MAX('1_Precios'!B$2:B116)-1</f>
        <v>0</v>
      </c>
      <c r="C116" s="13">
        <f>'1_Precios'!C116/MAX('1_Precios'!C$2:C116)-1</f>
        <v>0</v>
      </c>
      <c r="D116" s="13">
        <f>'1_Precios'!D116/MAX('1_Precios'!D$2:D116)-1</f>
        <v>0</v>
      </c>
      <c r="E116" s="13">
        <f>'1_Precios'!E116/MAX('1_Precios'!E$2:E116)-1</f>
        <v>0</v>
      </c>
      <c r="F116" s="13">
        <f>'1_Precios'!F116/MAX('1_Precios'!F$2:F116)-1</f>
        <v>0</v>
      </c>
      <c r="G116" s="13">
        <f>'1_Precios'!G116/MAX('1_Precios'!G$2:G116)-1</f>
        <v>0</v>
      </c>
    </row>
    <row r="117" spans="1:7">
      <c r="A117" s="12">
        <f>'1_Precios'!A117</f>
        <v>0</v>
      </c>
      <c r="B117" s="13">
        <f>'1_Precios'!B117/MAX('1_Precios'!B$2:B117)-1</f>
        <v>0</v>
      </c>
      <c r="C117" s="13">
        <f>'1_Precios'!C117/MAX('1_Precios'!C$2:C117)-1</f>
        <v>0</v>
      </c>
      <c r="D117" s="13">
        <f>'1_Precios'!D117/MAX('1_Precios'!D$2:D117)-1</f>
        <v>0</v>
      </c>
      <c r="E117" s="13">
        <f>'1_Precios'!E117/MAX('1_Precios'!E$2:E117)-1</f>
        <v>0</v>
      </c>
      <c r="F117" s="13">
        <f>'1_Precios'!F117/MAX('1_Precios'!F$2:F117)-1</f>
        <v>0</v>
      </c>
      <c r="G117" s="13">
        <f>'1_Precios'!G117/MAX('1_Precios'!G$2:G117)-1</f>
        <v>0</v>
      </c>
    </row>
    <row r="118" spans="1:7">
      <c r="A118" s="12">
        <f>'1_Precios'!A118</f>
        <v>0</v>
      </c>
      <c r="B118" s="13">
        <f>'1_Precios'!B118/MAX('1_Precios'!B$2:B118)-1</f>
        <v>0</v>
      </c>
      <c r="C118" s="13">
        <f>'1_Precios'!C118/MAX('1_Precios'!C$2:C118)-1</f>
        <v>0</v>
      </c>
      <c r="D118" s="13">
        <f>'1_Precios'!D118/MAX('1_Precios'!D$2:D118)-1</f>
        <v>0</v>
      </c>
      <c r="E118" s="13">
        <f>'1_Precios'!E118/MAX('1_Precios'!E$2:E118)-1</f>
        <v>0</v>
      </c>
      <c r="F118" s="13">
        <f>'1_Precios'!F118/MAX('1_Precios'!F$2:F118)-1</f>
        <v>0</v>
      </c>
      <c r="G118" s="13">
        <f>'1_Precios'!G118/MAX('1_Precios'!G$2:G118)-1</f>
        <v>0</v>
      </c>
    </row>
    <row r="119" spans="1:7">
      <c r="A119" s="12">
        <f>'1_Precios'!A119</f>
        <v>0</v>
      </c>
      <c r="B119" s="13">
        <f>'1_Precios'!B119/MAX('1_Precios'!B$2:B119)-1</f>
        <v>0</v>
      </c>
      <c r="C119" s="13">
        <f>'1_Precios'!C119/MAX('1_Precios'!C$2:C119)-1</f>
        <v>0</v>
      </c>
      <c r="D119" s="13">
        <f>'1_Precios'!D119/MAX('1_Precios'!D$2:D119)-1</f>
        <v>0</v>
      </c>
      <c r="E119" s="13">
        <f>'1_Precios'!E119/MAX('1_Precios'!E$2:E119)-1</f>
        <v>0</v>
      </c>
      <c r="F119" s="13">
        <f>'1_Precios'!F119/MAX('1_Precios'!F$2:F119)-1</f>
        <v>0</v>
      </c>
      <c r="G119" s="13">
        <f>'1_Precios'!G119/MAX('1_Precios'!G$2:G119)-1</f>
        <v>0</v>
      </c>
    </row>
    <row r="120" spans="1:7">
      <c r="A120" s="12">
        <f>'1_Precios'!A120</f>
        <v>0</v>
      </c>
      <c r="B120" s="13">
        <f>'1_Precios'!B120/MAX('1_Precios'!B$2:B120)-1</f>
        <v>0</v>
      </c>
      <c r="C120" s="13">
        <f>'1_Precios'!C120/MAX('1_Precios'!C$2:C120)-1</f>
        <v>0</v>
      </c>
      <c r="D120" s="13">
        <f>'1_Precios'!D120/MAX('1_Precios'!D$2:D120)-1</f>
        <v>0</v>
      </c>
      <c r="E120" s="13">
        <f>'1_Precios'!E120/MAX('1_Precios'!E$2:E120)-1</f>
        <v>0</v>
      </c>
      <c r="F120" s="13">
        <f>'1_Precios'!F120/MAX('1_Precios'!F$2:F120)-1</f>
        <v>0</v>
      </c>
      <c r="G120" s="13">
        <f>'1_Precios'!G120/MAX('1_Precios'!G$2:G120)-1</f>
        <v>0</v>
      </c>
    </row>
    <row r="121" spans="1:7">
      <c r="A121" s="12">
        <f>'1_Precios'!A121</f>
        <v>0</v>
      </c>
      <c r="B121" s="13">
        <f>'1_Precios'!B121/MAX('1_Precios'!B$2:B121)-1</f>
        <v>0</v>
      </c>
      <c r="C121" s="13">
        <f>'1_Precios'!C121/MAX('1_Precios'!C$2:C121)-1</f>
        <v>0</v>
      </c>
      <c r="D121" s="13">
        <f>'1_Precios'!D121/MAX('1_Precios'!D$2:D121)-1</f>
        <v>0</v>
      </c>
      <c r="E121" s="13">
        <f>'1_Precios'!E121/MAX('1_Precios'!E$2:E121)-1</f>
        <v>0</v>
      </c>
      <c r="F121" s="13">
        <f>'1_Precios'!F121/MAX('1_Precios'!F$2:F121)-1</f>
        <v>0</v>
      </c>
      <c r="G121" s="13">
        <f>'1_Precios'!G121/MAX('1_Precios'!G$2:G121)-1</f>
        <v>0</v>
      </c>
    </row>
    <row r="122" spans="1:7">
      <c r="A122" s="12">
        <f>'1_Precios'!A122</f>
        <v>0</v>
      </c>
      <c r="B122" s="13">
        <f>'1_Precios'!B122/MAX('1_Precios'!B$2:B122)-1</f>
        <v>0</v>
      </c>
      <c r="C122" s="13">
        <f>'1_Precios'!C122/MAX('1_Precios'!C$2:C122)-1</f>
        <v>0</v>
      </c>
      <c r="D122" s="13">
        <f>'1_Precios'!D122/MAX('1_Precios'!D$2:D122)-1</f>
        <v>0</v>
      </c>
      <c r="E122" s="13">
        <f>'1_Precios'!E122/MAX('1_Precios'!E$2:E122)-1</f>
        <v>0</v>
      </c>
      <c r="F122" s="13">
        <f>'1_Precios'!F122/MAX('1_Precios'!F$2:F122)-1</f>
        <v>0</v>
      </c>
      <c r="G122" s="13">
        <f>'1_Precios'!G122/MAX('1_Precios'!G$2:G122)-1</f>
        <v>0</v>
      </c>
    </row>
    <row r="123" spans="1:7">
      <c r="A123" s="12">
        <f>'1_Precios'!A123</f>
        <v>0</v>
      </c>
      <c r="B123" s="13">
        <f>'1_Precios'!B123/MAX('1_Precios'!B$2:B123)-1</f>
        <v>0</v>
      </c>
      <c r="C123" s="13">
        <f>'1_Precios'!C123/MAX('1_Precios'!C$2:C123)-1</f>
        <v>0</v>
      </c>
      <c r="D123" s="13">
        <f>'1_Precios'!D123/MAX('1_Precios'!D$2:D123)-1</f>
        <v>0</v>
      </c>
      <c r="E123" s="13">
        <f>'1_Precios'!E123/MAX('1_Precios'!E$2:E123)-1</f>
        <v>0</v>
      </c>
      <c r="F123" s="13">
        <f>'1_Precios'!F123/MAX('1_Precios'!F$2:F123)-1</f>
        <v>0</v>
      </c>
      <c r="G123" s="13">
        <f>'1_Precios'!G123/MAX('1_Precios'!G$2:G123)-1</f>
        <v>0</v>
      </c>
    </row>
    <row r="124" spans="1:7">
      <c r="A124" s="12">
        <f>'1_Precios'!A124</f>
        <v>0</v>
      </c>
      <c r="B124" s="13">
        <f>'1_Precios'!B124/MAX('1_Precios'!B$2:B124)-1</f>
        <v>0</v>
      </c>
      <c r="C124" s="13">
        <f>'1_Precios'!C124/MAX('1_Precios'!C$2:C124)-1</f>
        <v>0</v>
      </c>
      <c r="D124" s="13">
        <f>'1_Precios'!D124/MAX('1_Precios'!D$2:D124)-1</f>
        <v>0</v>
      </c>
      <c r="E124" s="13">
        <f>'1_Precios'!E124/MAX('1_Precios'!E$2:E124)-1</f>
        <v>0</v>
      </c>
      <c r="F124" s="13">
        <f>'1_Precios'!F124/MAX('1_Precios'!F$2:F124)-1</f>
        <v>0</v>
      </c>
      <c r="G124" s="13">
        <f>'1_Precios'!G124/MAX('1_Precios'!G$2:G124)-1</f>
        <v>0</v>
      </c>
    </row>
    <row r="125" spans="1:7">
      <c r="A125" s="12">
        <f>'1_Precios'!A125</f>
        <v>0</v>
      </c>
      <c r="B125" s="13">
        <f>'1_Precios'!B125/MAX('1_Precios'!B$2:B125)-1</f>
        <v>0</v>
      </c>
      <c r="C125" s="13">
        <f>'1_Precios'!C125/MAX('1_Precios'!C$2:C125)-1</f>
        <v>0</v>
      </c>
      <c r="D125" s="13">
        <f>'1_Precios'!D125/MAX('1_Precios'!D$2:D125)-1</f>
        <v>0</v>
      </c>
      <c r="E125" s="13">
        <f>'1_Precios'!E125/MAX('1_Precios'!E$2:E125)-1</f>
        <v>0</v>
      </c>
      <c r="F125" s="13">
        <f>'1_Precios'!F125/MAX('1_Precios'!F$2:F125)-1</f>
        <v>0</v>
      </c>
      <c r="G125" s="13">
        <f>'1_Precios'!G125/MAX('1_Precios'!G$2:G125)-1</f>
        <v>0</v>
      </c>
    </row>
    <row r="126" spans="1:7">
      <c r="A126" s="12">
        <f>'1_Precios'!A126</f>
        <v>0</v>
      </c>
      <c r="B126" s="13">
        <f>'1_Precios'!B126/MAX('1_Precios'!B$2:B126)-1</f>
        <v>0</v>
      </c>
      <c r="C126" s="13">
        <f>'1_Precios'!C126/MAX('1_Precios'!C$2:C126)-1</f>
        <v>0</v>
      </c>
      <c r="D126" s="13">
        <f>'1_Precios'!D126/MAX('1_Precios'!D$2:D126)-1</f>
        <v>0</v>
      </c>
      <c r="E126" s="13">
        <f>'1_Precios'!E126/MAX('1_Precios'!E$2:E126)-1</f>
        <v>0</v>
      </c>
      <c r="F126" s="13">
        <f>'1_Precios'!F126/MAX('1_Precios'!F$2:F126)-1</f>
        <v>0</v>
      </c>
      <c r="G126" s="13">
        <f>'1_Precios'!G126/MAX('1_Precios'!G$2:G126)-1</f>
        <v>0</v>
      </c>
    </row>
    <row r="127" spans="1:7">
      <c r="A127" s="12">
        <f>'1_Precios'!A127</f>
        <v>0</v>
      </c>
      <c r="B127" s="13">
        <f>'1_Precios'!B127/MAX('1_Precios'!B$2:B127)-1</f>
        <v>0</v>
      </c>
      <c r="C127" s="13">
        <f>'1_Precios'!C127/MAX('1_Precios'!C$2:C127)-1</f>
        <v>0</v>
      </c>
      <c r="D127" s="13">
        <f>'1_Precios'!D127/MAX('1_Precios'!D$2:D127)-1</f>
        <v>0</v>
      </c>
      <c r="E127" s="13">
        <f>'1_Precios'!E127/MAX('1_Precios'!E$2:E127)-1</f>
        <v>0</v>
      </c>
      <c r="F127" s="13">
        <f>'1_Precios'!F127/MAX('1_Precios'!F$2:F127)-1</f>
        <v>0</v>
      </c>
      <c r="G127" s="13">
        <f>'1_Precios'!G127/MAX('1_Precios'!G$2:G127)-1</f>
        <v>0</v>
      </c>
    </row>
    <row r="128" spans="1:7">
      <c r="A128" s="12">
        <f>'1_Precios'!A128</f>
        <v>0</v>
      </c>
      <c r="B128" s="13">
        <f>'1_Precios'!B128/MAX('1_Precios'!B$2:B128)-1</f>
        <v>0</v>
      </c>
      <c r="C128" s="13">
        <f>'1_Precios'!C128/MAX('1_Precios'!C$2:C128)-1</f>
        <v>0</v>
      </c>
      <c r="D128" s="13">
        <f>'1_Precios'!D128/MAX('1_Precios'!D$2:D128)-1</f>
        <v>0</v>
      </c>
      <c r="E128" s="13">
        <f>'1_Precios'!E128/MAX('1_Precios'!E$2:E128)-1</f>
        <v>0</v>
      </c>
      <c r="F128" s="13">
        <f>'1_Precios'!F128/MAX('1_Precios'!F$2:F128)-1</f>
        <v>0</v>
      </c>
      <c r="G128" s="13">
        <f>'1_Precios'!G128/MAX('1_Precios'!G$2:G128)-1</f>
        <v>0</v>
      </c>
    </row>
    <row r="129" spans="1:7">
      <c r="A129" s="12">
        <f>'1_Precios'!A129</f>
        <v>0</v>
      </c>
      <c r="B129" s="13">
        <f>'1_Precios'!B129/MAX('1_Precios'!B$2:B129)-1</f>
        <v>0</v>
      </c>
      <c r="C129" s="13">
        <f>'1_Precios'!C129/MAX('1_Precios'!C$2:C129)-1</f>
        <v>0</v>
      </c>
      <c r="D129" s="13">
        <f>'1_Precios'!D129/MAX('1_Precios'!D$2:D129)-1</f>
        <v>0</v>
      </c>
      <c r="E129" s="13">
        <f>'1_Precios'!E129/MAX('1_Precios'!E$2:E129)-1</f>
        <v>0</v>
      </c>
      <c r="F129" s="13">
        <f>'1_Precios'!F129/MAX('1_Precios'!F$2:F129)-1</f>
        <v>0</v>
      </c>
      <c r="G129" s="13">
        <f>'1_Precios'!G129/MAX('1_Precios'!G$2:G129)-1</f>
        <v>0</v>
      </c>
    </row>
    <row r="130" spans="1:7">
      <c r="A130" s="12">
        <f>'1_Precios'!A130</f>
        <v>0</v>
      </c>
      <c r="B130" s="13">
        <f>'1_Precios'!B130/MAX('1_Precios'!B$2:B130)-1</f>
        <v>0</v>
      </c>
      <c r="C130" s="13">
        <f>'1_Precios'!C130/MAX('1_Precios'!C$2:C130)-1</f>
        <v>0</v>
      </c>
      <c r="D130" s="13">
        <f>'1_Precios'!D130/MAX('1_Precios'!D$2:D130)-1</f>
        <v>0</v>
      </c>
      <c r="E130" s="13">
        <f>'1_Precios'!E130/MAX('1_Precios'!E$2:E130)-1</f>
        <v>0</v>
      </c>
      <c r="F130" s="13">
        <f>'1_Precios'!F130/MAX('1_Precios'!F$2:F130)-1</f>
        <v>0</v>
      </c>
      <c r="G130" s="13">
        <f>'1_Precios'!G130/MAX('1_Precios'!G$2:G130)-1</f>
        <v>0</v>
      </c>
    </row>
    <row r="131" spans="1:7">
      <c r="A131" s="12">
        <f>'1_Precios'!A131</f>
        <v>0</v>
      </c>
      <c r="B131" s="13">
        <f>'1_Precios'!B131/MAX('1_Precios'!B$2:B131)-1</f>
        <v>0</v>
      </c>
      <c r="C131" s="13">
        <f>'1_Precios'!C131/MAX('1_Precios'!C$2:C131)-1</f>
        <v>0</v>
      </c>
      <c r="D131" s="13">
        <f>'1_Precios'!D131/MAX('1_Precios'!D$2:D131)-1</f>
        <v>0</v>
      </c>
      <c r="E131" s="13">
        <f>'1_Precios'!E131/MAX('1_Precios'!E$2:E131)-1</f>
        <v>0</v>
      </c>
      <c r="F131" s="13">
        <f>'1_Precios'!F131/MAX('1_Precios'!F$2:F131)-1</f>
        <v>0</v>
      </c>
      <c r="G131" s="13">
        <f>'1_Precios'!G131/MAX('1_Precios'!G$2:G131)-1</f>
        <v>0</v>
      </c>
    </row>
    <row r="132" spans="1:7">
      <c r="A132" s="12">
        <f>'1_Precios'!A132</f>
        <v>0</v>
      </c>
      <c r="B132" s="13">
        <f>'1_Precios'!B132/MAX('1_Precios'!B$2:B132)-1</f>
        <v>0</v>
      </c>
      <c r="C132" s="13">
        <f>'1_Precios'!C132/MAX('1_Precios'!C$2:C132)-1</f>
        <v>0</v>
      </c>
      <c r="D132" s="13">
        <f>'1_Precios'!D132/MAX('1_Precios'!D$2:D132)-1</f>
        <v>0</v>
      </c>
      <c r="E132" s="13">
        <f>'1_Precios'!E132/MAX('1_Precios'!E$2:E132)-1</f>
        <v>0</v>
      </c>
      <c r="F132" s="13">
        <f>'1_Precios'!F132/MAX('1_Precios'!F$2:F132)-1</f>
        <v>0</v>
      </c>
      <c r="G132" s="13">
        <f>'1_Precios'!G132/MAX('1_Precios'!G$2:G132)-1</f>
        <v>0</v>
      </c>
    </row>
    <row r="133" spans="1:7">
      <c r="A133" s="12">
        <f>'1_Precios'!A133</f>
        <v>0</v>
      </c>
      <c r="B133" s="13">
        <f>'1_Precios'!B133/MAX('1_Precios'!B$2:B133)-1</f>
        <v>0</v>
      </c>
      <c r="C133" s="13">
        <f>'1_Precios'!C133/MAX('1_Precios'!C$2:C133)-1</f>
        <v>0</v>
      </c>
      <c r="D133" s="13">
        <f>'1_Precios'!D133/MAX('1_Precios'!D$2:D133)-1</f>
        <v>0</v>
      </c>
      <c r="E133" s="13">
        <f>'1_Precios'!E133/MAX('1_Precios'!E$2:E133)-1</f>
        <v>0</v>
      </c>
      <c r="F133" s="13">
        <f>'1_Precios'!F133/MAX('1_Precios'!F$2:F133)-1</f>
        <v>0</v>
      </c>
      <c r="G133" s="13">
        <f>'1_Precios'!G133/MAX('1_Precios'!G$2:G133)-1</f>
        <v>0</v>
      </c>
    </row>
    <row r="134" spans="1:7">
      <c r="A134" s="12">
        <f>'1_Precios'!A134</f>
        <v>0</v>
      </c>
      <c r="B134" s="13">
        <f>'1_Precios'!B134/MAX('1_Precios'!B$2:B134)-1</f>
        <v>0</v>
      </c>
      <c r="C134" s="13">
        <f>'1_Precios'!C134/MAX('1_Precios'!C$2:C134)-1</f>
        <v>0</v>
      </c>
      <c r="D134" s="13">
        <f>'1_Precios'!D134/MAX('1_Precios'!D$2:D134)-1</f>
        <v>0</v>
      </c>
      <c r="E134" s="13">
        <f>'1_Precios'!E134/MAX('1_Precios'!E$2:E134)-1</f>
        <v>0</v>
      </c>
      <c r="F134" s="13">
        <f>'1_Precios'!F134/MAX('1_Precios'!F$2:F134)-1</f>
        <v>0</v>
      </c>
      <c r="G134" s="13">
        <f>'1_Precios'!G134/MAX('1_Precios'!G$2:G134)-1</f>
        <v>0</v>
      </c>
    </row>
    <row r="135" spans="1:7">
      <c r="A135" s="12">
        <f>'1_Precios'!A135</f>
        <v>0</v>
      </c>
      <c r="B135" s="13">
        <f>'1_Precios'!B135/MAX('1_Precios'!B$2:B135)-1</f>
        <v>0</v>
      </c>
      <c r="C135" s="13">
        <f>'1_Precios'!C135/MAX('1_Precios'!C$2:C135)-1</f>
        <v>0</v>
      </c>
      <c r="D135" s="13">
        <f>'1_Precios'!D135/MAX('1_Precios'!D$2:D135)-1</f>
        <v>0</v>
      </c>
      <c r="E135" s="13">
        <f>'1_Precios'!E135/MAX('1_Precios'!E$2:E135)-1</f>
        <v>0</v>
      </c>
      <c r="F135" s="13">
        <f>'1_Precios'!F135/MAX('1_Precios'!F$2:F135)-1</f>
        <v>0</v>
      </c>
      <c r="G135" s="13">
        <f>'1_Precios'!G135/MAX('1_Precios'!G$2:G135)-1</f>
        <v>0</v>
      </c>
    </row>
    <row r="136" spans="1:7">
      <c r="A136" s="12">
        <f>'1_Precios'!A136</f>
        <v>0</v>
      </c>
      <c r="B136" s="13">
        <f>'1_Precios'!B136/MAX('1_Precios'!B$2:B136)-1</f>
        <v>0</v>
      </c>
      <c r="C136" s="13">
        <f>'1_Precios'!C136/MAX('1_Precios'!C$2:C136)-1</f>
        <v>0</v>
      </c>
      <c r="D136" s="13">
        <f>'1_Precios'!D136/MAX('1_Precios'!D$2:D136)-1</f>
        <v>0</v>
      </c>
      <c r="E136" s="13">
        <f>'1_Precios'!E136/MAX('1_Precios'!E$2:E136)-1</f>
        <v>0</v>
      </c>
      <c r="F136" s="13">
        <f>'1_Precios'!F136/MAX('1_Precios'!F$2:F136)-1</f>
        <v>0</v>
      </c>
      <c r="G136" s="13">
        <f>'1_Precios'!G136/MAX('1_Precios'!G$2:G136)-1</f>
        <v>0</v>
      </c>
    </row>
    <row r="137" spans="1:7">
      <c r="A137" s="12">
        <f>'1_Precios'!A137</f>
        <v>0</v>
      </c>
      <c r="B137" s="13">
        <f>'1_Precios'!B137/MAX('1_Precios'!B$2:B137)-1</f>
        <v>0</v>
      </c>
      <c r="C137" s="13">
        <f>'1_Precios'!C137/MAX('1_Precios'!C$2:C137)-1</f>
        <v>0</v>
      </c>
      <c r="D137" s="13">
        <f>'1_Precios'!D137/MAX('1_Precios'!D$2:D137)-1</f>
        <v>0</v>
      </c>
      <c r="E137" s="13">
        <f>'1_Precios'!E137/MAX('1_Precios'!E$2:E137)-1</f>
        <v>0</v>
      </c>
      <c r="F137" s="13">
        <f>'1_Precios'!F137/MAX('1_Precios'!F$2:F137)-1</f>
        <v>0</v>
      </c>
      <c r="G137" s="13">
        <f>'1_Precios'!G137/MAX('1_Precios'!G$2:G137)-1</f>
        <v>0</v>
      </c>
    </row>
    <row r="138" spans="1:7">
      <c r="A138" s="12">
        <f>'1_Precios'!A138</f>
        <v>0</v>
      </c>
      <c r="B138" s="13">
        <f>'1_Precios'!B138/MAX('1_Precios'!B$2:B138)-1</f>
        <v>0</v>
      </c>
      <c r="C138" s="13">
        <f>'1_Precios'!C138/MAX('1_Precios'!C$2:C138)-1</f>
        <v>0</v>
      </c>
      <c r="D138" s="13">
        <f>'1_Precios'!D138/MAX('1_Precios'!D$2:D138)-1</f>
        <v>0</v>
      </c>
      <c r="E138" s="13">
        <f>'1_Precios'!E138/MAX('1_Precios'!E$2:E138)-1</f>
        <v>0</v>
      </c>
      <c r="F138" s="13">
        <f>'1_Precios'!F138/MAX('1_Precios'!F$2:F138)-1</f>
        <v>0</v>
      </c>
      <c r="G138" s="13">
        <f>'1_Precios'!G138/MAX('1_Precios'!G$2:G138)-1</f>
        <v>0</v>
      </c>
    </row>
    <row r="139" spans="1:7">
      <c r="A139" s="12">
        <f>'1_Precios'!A139</f>
        <v>0</v>
      </c>
      <c r="B139" s="13">
        <f>'1_Precios'!B139/MAX('1_Precios'!B$2:B139)-1</f>
        <v>0</v>
      </c>
      <c r="C139" s="13">
        <f>'1_Precios'!C139/MAX('1_Precios'!C$2:C139)-1</f>
        <v>0</v>
      </c>
      <c r="D139" s="13">
        <f>'1_Precios'!D139/MAX('1_Precios'!D$2:D139)-1</f>
        <v>0</v>
      </c>
      <c r="E139" s="13">
        <f>'1_Precios'!E139/MAX('1_Precios'!E$2:E139)-1</f>
        <v>0</v>
      </c>
      <c r="F139" s="13">
        <f>'1_Precios'!F139/MAX('1_Precios'!F$2:F139)-1</f>
        <v>0</v>
      </c>
      <c r="G139" s="13">
        <f>'1_Precios'!G139/MAX('1_Precios'!G$2:G139)-1</f>
        <v>0</v>
      </c>
    </row>
    <row r="140" spans="1:7">
      <c r="A140" s="12">
        <f>'1_Precios'!A140</f>
        <v>0</v>
      </c>
      <c r="B140" s="13">
        <f>'1_Precios'!B140/MAX('1_Precios'!B$2:B140)-1</f>
        <v>0</v>
      </c>
      <c r="C140" s="13">
        <f>'1_Precios'!C140/MAX('1_Precios'!C$2:C140)-1</f>
        <v>0</v>
      </c>
      <c r="D140" s="13">
        <f>'1_Precios'!D140/MAX('1_Precios'!D$2:D140)-1</f>
        <v>0</v>
      </c>
      <c r="E140" s="13">
        <f>'1_Precios'!E140/MAX('1_Precios'!E$2:E140)-1</f>
        <v>0</v>
      </c>
      <c r="F140" s="13">
        <f>'1_Precios'!F140/MAX('1_Precios'!F$2:F140)-1</f>
        <v>0</v>
      </c>
      <c r="G140" s="13">
        <f>'1_Precios'!G140/MAX('1_Precios'!G$2:G140)-1</f>
        <v>0</v>
      </c>
    </row>
    <row r="141" spans="1:7">
      <c r="A141" s="12">
        <f>'1_Precios'!A141</f>
        <v>0</v>
      </c>
      <c r="B141" s="13">
        <f>'1_Precios'!B141/MAX('1_Precios'!B$2:B141)-1</f>
        <v>0</v>
      </c>
      <c r="C141" s="13">
        <f>'1_Precios'!C141/MAX('1_Precios'!C$2:C141)-1</f>
        <v>0</v>
      </c>
      <c r="D141" s="13">
        <f>'1_Precios'!D141/MAX('1_Precios'!D$2:D141)-1</f>
        <v>0</v>
      </c>
      <c r="E141" s="13">
        <f>'1_Precios'!E141/MAX('1_Precios'!E$2:E141)-1</f>
        <v>0</v>
      </c>
      <c r="F141" s="13">
        <f>'1_Precios'!F141/MAX('1_Precios'!F$2:F141)-1</f>
        <v>0</v>
      </c>
      <c r="G141" s="13">
        <f>'1_Precios'!G141/MAX('1_Precios'!G$2:G141)-1</f>
        <v>0</v>
      </c>
    </row>
    <row r="142" spans="1:7">
      <c r="A142" s="12">
        <f>'1_Precios'!A142</f>
        <v>0</v>
      </c>
      <c r="B142" s="13">
        <f>'1_Precios'!B142/MAX('1_Precios'!B$2:B142)-1</f>
        <v>0</v>
      </c>
      <c r="C142" s="13">
        <f>'1_Precios'!C142/MAX('1_Precios'!C$2:C142)-1</f>
        <v>0</v>
      </c>
      <c r="D142" s="13">
        <f>'1_Precios'!D142/MAX('1_Precios'!D$2:D142)-1</f>
        <v>0</v>
      </c>
      <c r="E142" s="13">
        <f>'1_Precios'!E142/MAX('1_Precios'!E$2:E142)-1</f>
        <v>0</v>
      </c>
      <c r="F142" s="13">
        <f>'1_Precios'!F142/MAX('1_Precios'!F$2:F142)-1</f>
        <v>0</v>
      </c>
      <c r="G142" s="13">
        <f>'1_Precios'!G142/MAX('1_Precios'!G$2:G142)-1</f>
        <v>0</v>
      </c>
    </row>
    <row r="143" spans="1:7">
      <c r="A143" s="12">
        <f>'1_Precios'!A143</f>
        <v>0</v>
      </c>
      <c r="B143" s="13">
        <f>'1_Precios'!B143/MAX('1_Precios'!B$2:B143)-1</f>
        <v>0</v>
      </c>
      <c r="C143" s="13">
        <f>'1_Precios'!C143/MAX('1_Precios'!C$2:C143)-1</f>
        <v>0</v>
      </c>
      <c r="D143" s="13">
        <f>'1_Precios'!D143/MAX('1_Precios'!D$2:D143)-1</f>
        <v>0</v>
      </c>
      <c r="E143" s="13">
        <f>'1_Precios'!E143/MAX('1_Precios'!E$2:E143)-1</f>
        <v>0</v>
      </c>
      <c r="F143" s="13">
        <f>'1_Precios'!F143/MAX('1_Precios'!F$2:F143)-1</f>
        <v>0</v>
      </c>
      <c r="G143" s="13">
        <f>'1_Precios'!G143/MAX('1_Precios'!G$2:G143)-1</f>
        <v>0</v>
      </c>
    </row>
    <row r="144" spans="1:7">
      <c r="A144" s="12">
        <f>'1_Precios'!A144</f>
        <v>0</v>
      </c>
      <c r="B144" s="13">
        <f>'1_Precios'!B144/MAX('1_Precios'!B$2:B144)-1</f>
        <v>0</v>
      </c>
      <c r="C144" s="13">
        <f>'1_Precios'!C144/MAX('1_Precios'!C$2:C144)-1</f>
        <v>0</v>
      </c>
      <c r="D144" s="13">
        <f>'1_Precios'!D144/MAX('1_Precios'!D$2:D144)-1</f>
        <v>0</v>
      </c>
      <c r="E144" s="13">
        <f>'1_Precios'!E144/MAX('1_Precios'!E$2:E144)-1</f>
        <v>0</v>
      </c>
      <c r="F144" s="13">
        <f>'1_Precios'!F144/MAX('1_Precios'!F$2:F144)-1</f>
        <v>0</v>
      </c>
      <c r="G144" s="13">
        <f>'1_Precios'!G144/MAX('1_Precios'!G$2:G144)-1</f>
        <v>0</v>
      </c>
    </row>
    <row r="145" spans="1:7">
      <c r="A145" s="12">
        <f>'1_Precios'!A145</f>
        <v>0</v>
      </c>
      <c r="B145" s="13">
        <f>'1_Precios'!B145/MAX('1_Precios'!B$2:B145)-1</f>
        <v>0</v>
      </c>
      <c r="C145" s="13">
        <f>'1_Precios'!C145/MAX('1_Precios'!C$2:C145)-1</f>
        <v>0</v>
      </c>
      <c r="D145" s="13">
        <f>'1_Precios'!D145/MAX('1_Precios'!D$2:D145)-1</f>
        <v>0</v>
      </c>
      <c r="E145" s="13">
        <f>'1_Precios'!E145/MAX('1_Precios'!E$2:E145)-1</f>
        <v>0</v>
      </c>
      <c r="F145" s="13">
        <f>'1_Precios'!F145/MAX('1_Precios'!F$2:F145)-1</f>
        <v>0</v>
      </c>
      <c r="G145" s="13">
        <f>'1_Precios'!G145/MAX('1_Precios'!G$2:G145)-1</f>
        <v>0</v>
      </c>
    </row>
    <row r="146" spans="1:7">
      <c r="A146" s="12">
        <f>'1_Precios'!A146</f>
        <v>0</v>
      </c>
      <c r="B146" s="13">
        <f>'1_Precios'!B146/MAX('1_Precios'!B$2:B146)-1</f>
        <v>0</v>
      </c>
      <c r="C146" s="13">
        <f>'1_Precios'!C146/MAX('1_Precios'!C$2:C146)-1</f>
        <v>0</v>
      </c>
      <c r="D146" s="13">
        <f>'1_Precios'!D146/MAX('1_Precios'!D$2:D146)-1</f>
        <v>0</v>
      </c>
      <c r="E146" s="13">
        <f>'1_Precios'!E146/MAX('1_Precios'!E$2:E146)-1</f>
        <v>0</v>
      </c>
      <c r="F146" s="13">
        <f>'1_Precios'!F146/MAX('1_Precios'!F$2:F146)-1</f>
        <v>0</v>
      </c>
      <c r="G146" s="13">
        <f>'1_Precios'!G146/MAX('1_Precios'!G$2:G146)-1</f>
        <v>0</v>
      </c>
    </row>
    <row r="147" spans="1:7">
      <c r="A147" s="12">
        <f>'1_Precios'!A147</f>
        <v>0</v>
      </c>
      <c r="B147" s="13">
        <f>'1_Precios'!B147/MAX('1_Precios'!B$2:B147)-1</f>
        <v>0</v>
      </c>
      <c r="C147" s="13">
        <f>'1_Precios'!C147/MAX('1_Precios'!C$2:C147)-1</f>
        <v>0</v>
      </c>
      <c r="D147" s="13">
        <f>'1_Precios'!D147/MAX('1_Precios'!D$2:D147)-1</f>
        <v>0</v>
      </c>
      <c r="E147" s="13">
        <f>'1_Precios'!E147/MAX('1_Precios'!E$2:E147)-1</f>
        <v>0</v>
      </c>
      <c r="F147" s="13">
        <f>'1_Precios'!F147/MAX('1_Precios'!F$2:F147)-1</f>
        <v>0</v>
      </c>
      <c r="G147" s="13">
        <f>'1_Precios'!G147/MAX('1_Precios'!G$2:G147)-1</f>
        <v>0</v>
      </c>
    </row>
    <row r="148" spans="1:7">
      <c r="A148" s="12">
        <f>'1_Precios'!A148</f>
        <v>0</v>
      </c>
      <c r="B148" s="13">
        <f>'1_Precios'!B148/MAX('1_Precios'!B$2:B148)-1</f>
        <v>0</v>
      </c>
      <c r="C148" s="13">
        <f>'1_Precios'!C148/MAX('1_Precios'!C$2:C148)-1</f>
        <v>0</v>
      </c>
      <c r="D148" s="13">
        <f>'1_Precios'!D148/MAX('1_Precios'!D$2:D148)-1</f>
        <v>0</v>
      </c>
      <c r="E148" s="13">
        <f>'1_Precios'!E148/MAX('1_Precios'!E$2:E148)-1</f>
        <v>0</v>
      </c>
      <c r="F148" s="13">
        <f>'1_Precios'!F148/MAX('1_Precios'!F$2:F148)-1</f>
        <v>0</v>
      </c>
      <c r="G148" s="13">
        <f>'1_Precios'!G148/MAX('1_Precios'!G$2:G148)-1</f>
        <v>0</v>
      </c>
    </row>
    <row r="149" spans="1:7">
      <c r="A149" s="12">
        <f>'1_Precios'!A149</f>
        <v>0</v>
      </c>
      <c r="B149" s="13">
        <f>'1_Precios'!B149/MAX('1_Precios'!B$2:B149)-1</f>
        <v>0</v>
      </c>
      <c r="C149" s="13">
        <f>'1_Precios'!C149/MAX('1_Precios'!C$2:C149)-1</f>
        <v>0</v>
      </c>
      <c r="D149" s="13">
        <f>'1_Precios'!D149/MAX('1_Precios'!D$2:D149)-1</f>
        <v>0</v>
      </c>
      <c r="E149" s="13">
        <f>'1_Precios'!E149/MAX('1_Precios'!E$2:E149)-1</f>
        <v>0</v>
      </c>
      <c r="F149" s="13">
        <f>'1_Precios'!F149/MAX('1_Precios'!F$2:F149)-1</f>
        <v>0</v>
      </c>
      <c r="G149" s="13">
        <f>'1_Precios'!G149/MAX('1_Precios'!G$2:G149)-1</f>
        <v>0</v>
      </c>
    </row>
    <row r="150" spans="1:7">
      <c r="A150" s="12">
        <f>'1_Precios'!A150</f>
        <v>0</v>
      </c>
      <c r="B150" s="13">
        <f>'1_Precios'!B150/MAX('1_Precios'!B$2:B150)-1</f>
        <v>0</v>
      </c>
      <c r="C150" s="13">
        <f>'1_Precios'!C150/MAX('1_Precios'!C$2:C150)-1</f>
        <v>0</v>
      </c>
      <c r="D150" s="13">
        <f>'1_Precios'!D150/MAX('1_Precios'!D$2:D150)-1</f>
        <v>0</v>
      </c>
      <c r="E150" s="13">
        <f>'1_Precios'!E150/MAX('1_Precios'!E$2:E150)-1</f>
        <v>0</v>
      </c>
      <c r="F150" s="13">
        <f>'1_Precios'!F150/MAX('1_Precios'!F$2:F150)-1</f>
        <v>0</v>
      </c>
      <c r="G150" s="13">
        <f>'1_Precios'!G150/MAX('1_Precios'!G$2:G150)-1</f>
        <v>0</v>
      </c>
    </row>
    <row r="151" spans="1:7">
      <c r="A151" s="12">
        <f>'1_Precios'!A151</f>
        <v>0</v>
      </c>
      <c r="B151" s="13">
        <f>'1_Precios'!B151/MAX('1_Precios'!B$2:B151)-1</f>
        <v>0</v>
      </c>
      <c r="C151" s="13">
        <f>'1_Precios'!C151/MAX('1_Precios'!C$2:C151)-1</f>
        <v>0</v>
      </c>
      <c r="D151" s="13">
        <f>'1_Precios'!D151/MAX('1_Precios'!D$2:D151)-1</f>
        <v>0</v>
      </c>
      <c r="E151" s="13">
        <f>'1_Precios'!E151/MAX('1_Precios'!E$2:E151)-1</f>
        <v>0</v>
      </c>
      <c r="F151" s="13">
        <f>'1_Precios'!F151/MAX('1_Precios'!F$2:F151)-1</f>
        <v>0</v>
      </c>
      <c r="G151" s="13">
        <f>'1_Precios'!G151/MAX('1_Precios'!G$2:G151)-1</f>
        <v>0</v>
      </c>
    </row>
    <row r="152" spans="1:7">
      <c r="A152" s="12">
        <f>'1_Precios'!A152</f>
        <v>0</v>
      </c>
      <c r="B152" s="13">
        <f>'1_Precios'!B152/MAX('1_Precios'!B$2:B152)-1</f>
        <v>0</v>
      </c>
      <c r="C152" s="13">
        <f>'1_Precios'!C152/MAX('1_Precios'!C$2:C152)-1</f>
        <v>0</v>
      </c>
      <c r="D152" s="13">
        <f>'1_Precios'!D152/MAX('1_Precios'!D$2:D152)-1</f>
        <v>0</v>
      </c>
      <c r="E152" s="13">
        <f>'1_Precios'!E152/MAX('1_Precios'!E$2:E152)-1</f>
        <v>0</v>
      </c>
      <c r="F152" s="13">
        <f>'1_Precios'!F152/MAX('1_Precios'!F$2:F152)-1</f>
        <v>0</v>
      </c>
      <c r="G152" s="13">
        <f>'1_Precios'!G152/MAX('1_Precios'!G$2:G152)-1</f>
        <v>0</v>
      </c>
    </row>
    <row r="153" spans="1:7">
      <c r="A153" s="12">
        <f>'1_Precios'!A153</f>
        <v>0</v>
      </c>
      <c r="B153" s="13">
        <f>'1_Precios'!B153/MAX('1_Precios'!B$2:B153)-1</f>
        <v>0</v>
      </c>
      <c r="C153" s="13">
        <f>'1_Precios'!C153/MAX('1_Precios'!C$2:C153)-1</f>
        <v>0</v>
      </c>
      <c r="D153" s="13">
        <f>'1_Precios'!D153/MAX('1_Precios'!D$2:D153)-1</f>
        <v>0</v>
      </c>
      <c r="E153" s="13">
        <f>'1_Precios'!E153/MAX('1_Precios'!E$2:E153)-1</f>
        <v>0</v>
      </c>
      <c r="F153" s="13">
        <f>'1_Precios'!F153/MAX('1_Precios'!F$2:F153)-1</f>
        <v>0</v>
      </c>
      <c r="G153" s="13">
        <f>'1_Precios'!G153/MAX('1_Precios'!G$2:G153)-1</f>
        <v>0</v>
      </c>
    </row>
    <row r="154" spans="1:7">
      <c r="A154" s="12">
        <f>'1_Precios'!A154</f>
        <v>0</v>
      </c>
      <c r="B154" s="13">
        <f>'1_Precios'!B154/MAX('1_Precios'!B$2:B154)-1</f>
        <v>0</v>
      </c>
      <c r="C154" s="13">
        <f>'1_Precios'!C154/MAX('1_Precios'!C$2:C154)-1</f>
        <v>0</v>
      </c>
      <c r="D154" s="13">
        <f>'1_Precios'!D154/MAX('1_Precios'!D$2:D154)-1</f>
        <v>0</v>
      </c>
      <c r="E154" s="13">
        <f>'1_Precios'!E154/MAX('1_Precios'!E$2:E154)-1</f>
        <v>0</v>
      </c>
      <c r="F154" s="13">
        <f>'1_Precios'!F154/MAX('1_Precios'!F$2:F154)-1</f>
        <v>0</v>
      </c>
      <c r="G154" s="13">
        <f>'1_Precios'!G154/MAX('1_Precios'!G$2:G154)-1</f>
        <v>0</v>
      </c>
    </row>
    <row r="155" spans="1:7">
      <c r="A155" s="12">
        <f>'1_Precios'!A155</f>
        <v>0</v>
      </c>
      <c r="B155" s="13">
        <f>'1_Precios'!B155/MAX('1_Precios'!B$2:B155)-1</f>
        <v>0</v>
      </c>
      <c r="C155" s="13">
        <f>'1_Precios'!C155/MAX('1_Precios'!C$2:C155)-1</f>
        <v>0</v>
      </c>
      <c r="D155" s="13">
        <f>'1_Precios'!D155/MAX('1_Precios'!D$2:D155)-1</f>
        <v>0</v>
      </c>
      <c r="E155" s="13">
        <f>'1_Precios'!E155/MAX('1_Precios'!E$2:E155)-1</f>
        <v>0</v>
      </c>
      <c r="F155" s="13">
        <f>'1_Precios'!F155/MAX('1_Precios'!F$2:F155)-1</f>
        <v>0</v>
      </c>
      <c r="G155" s="13">
        <f>'1_Precios'!G155/MAX('1_Precios'!G$2:G155)-1</f>
        <v>0</v>
      </c>
    </row>
    <row r="156" spans="1:7">
      <c r="A156" s="12">
        <f>'1_Precios'!A156</f>
        <v>0</v>
      </c>
      <c r="B156" s="13">
        <f>'1_Precios'!B156/MAX('1_Precios'!B$2:B156)-1</f>
        <v>0</v>
      </c>
      <c r="C156" s="13">
        <f>'1_Precios'!C156/MAX('1_Precios'!C$2:C156)-1</f>
        <v>0</v>
      </c>
      <c r="D156" s="13">
        <f>'1_Precios'!D156/MAX('1_Precios'!D$2:D156)-1</f>
        <v>0</v>
      </c>
      <c r="E156" s="13">
        <f>'1_Precios'!E156/MAX('1_Precios'!E$2:E156)-1</f>
        <v>0</v>
      </c>
      <c r="F156" s="13">
        <f>'1_Precios'!F156/MAX('1_Precios'!F$2:F156)-1</f>
        <v>0</v>
      </c>
      <c r="G156" s="13">
        <f>'1_Precios'!G156/MAX('1_Precios'!G$2:G156)-1</f>
        <v>0</v>
      </c>
    </row>
    <row r="157" spans="1:7">
      <c r="A157" s="12">
        <f>'1_Precios'!A157</f>
        <v>0</v>
      </c>
      <c r="B157" s="13">
        <f>'1_Precios'!B157/MAX('1_Precios'!B$2:B157)-1</f>
        <v>0</v>
      </c>
      <c r="C157" s="13">
        <f>'1_Precios'!C157/MAX('1_Precios'!C$2:C157)-1</f>
        <v>0</v>
      </c>
      <c r="D157" s="13">
        <f>'1_Precios'!D157/MAX('1_Precios'!D$2:D157)-1</f>
        <v>0</v>
      </c>
      <c r="E157" s="13">
        <f>'1_Precios'!E157/MAX('1_Precios'!E$2:E157)-1</f>
        <v>0</v>
      </c>
      <c r="F157" s="13">
        <f>'1_Precios'!F157/MAX('1_Precios'!F$2:F157)-1</f>
        <v>0</v>
      </c>
      <c r="G157" s="13">
        <f>'1_Precios'!G157/MAX('1_Precios'!G$2:G157)-1</f>
        <v>0</v>
      </c>
    </row>
    <row r="158" spans="1:7">
      <c r="A158" s="12">
        <f>'1_Precios'!A158</f>
        <v>0</v>
      </c>
      <c r="B158" s="13">
        <f>'1_Precios'!B158/MAX('1_Precios'!B$2:B158)-1</f>
        <v>0</v>
      </c>
      <c r="C158" s="13">
        <f>'1_Precios'!C158/MAX('1_Precios'!C$2:C158)-1</f>
        <v>0</v>
      </c>
      <c r="D158" s="13">
        <f>'1_Precios'!D158/MAX('1_Precios'!D$2:D158)-1</f>
        <v>0</v>
      </c>
      <c r="E158" s="13">
        <f>'1_Precios'!E158/MAX('1_Precios'!E$2:E158)-1</f>
        <v>0</v>
      </c>
      <c r="F158" s="13">
        <f>'1_Precios'!F158/MAX('1_Precios'!F$2:F158)-1</f>
        <v>0</v>
      </c>
      <c r="G158" s="13">
        <f>'1_Precios'!G158/MAX('1_Precios'!G$2:G158)-1</f>
        <v>0</v>
      </c>
    </row>
    <row r="159" spans="1:7">
      <c r="A159" s="12">
        <f>'1_Precios'!A159</f>
        <v>0</v>
      </c>
      <c r="B159" s="13">
        <f>'1_Precios'!B159/MAX('1_Precios'!B$2:B159)-1</f>
        <v>0</v>
      </c>
      <c r="C159" s="13">
        <f>'1_Precios'!C159/MAX('1_Precios'!C$2:C159)-1</f>
        <v>0</v>
      </c>
      <c r="D159" s="13">
        <f>'1_Precios'!D159/MAX('1_Precios'!D$2:D159)-1</f>
        <v>0</v>
      </c>
      <c r="E159" s="13">
        <f>'1_Precios'!E159/MAX('1_Precios'!E$2:E159)-1</f>
        <v>0</v>
      </c>
      <c r="F159" s="13">
        <f>'1_Precios'!F159/MAX('1_Precios'!F$2:F159)-1</f>
        <v>0</v>
      </c>
      <c r="G159" s="13">
        <f>'1_Precios'!G159/MAX('1_Precios'!G$2:G159)-1</f>
        <v>0</v>
      </c>
    </row>
    <row r="160" spans="1:7">
      <c r="A160" s="12">
        <f>'1_Precios'!A160</f>
        <v>0</v>
      </c>
      <c r="B160" s="13">
        <f>'1_Precios'!B160/MAX('1_Precios'!B$2:B160)-1</f>
        <v>0</v>
      </c>
      <c r="C160" s="13">
        <f>'1_Precios'!C160/MAX('1_Precios'!C$2:C160)-1</f>
        <v>0</v>
      </c>
      <c r="D160" s="13">
        <f>'1_Precios'!D160/MAX('1_Precios'!D$2:D160)-1</f>
        <v>0</v>
      </c>
      <c r="E160" s="13">
        <f>'1_Precios'!E160/MAX('1_Precios'!E$2:E160)-1</f>
        <v>0</v>
      </c>
      <c r="F160" s="13">
        <f>'1_Precios'!F160/MAX('1_Precios'!F$2:F160)-1</f>
        <v>0</v>
      </c>
      <c r="G160" s="13">
        <f>'1_Precios'!G160/MAX('1_Precios'!G$2:G160)-1</f>
        <v>0</v>
      </c>
    </row>
    <row r="161" spans="1:7">
      <c r="A161" s="12">
        <f>'1_Precios'!A161</f>
        <v>0</v>
      </c>
      <c r="B161" s="13">
        <f>'1_Precios'!B161/MAX('1_Precios'!B$2:B161)-1</f>
        <v>0</v>
      </c>
      <c r="C161" s="13">
        <f>'1_Precios'!C161/MAX('1_Precios'!C$2:C161)-1</f>
        <v>0</v>
      </c>
      <c r="D161" s="13">
        <f>'1_Precios'!D161/MAX('1_Precios'!D$2:D161)-1</f>
        <v>0</v>
      </c>
      <c r="E161" s="13">
        <f>'1_Precios'!E161/MAX('1_Precios'!E$2:E161)-1</f>
        <v>0</v>
      </c>
      <c r="F161" s="13">
        <f>'1_Precios'!F161/MAX('1_Precios'!F$2:F161)-1</f>
        <v>0</v>
      </c>
      <c r="G161" s="13">
        <f>'1_Precios'!G161/MAX('1_Precios'!G$2:G161)-1</f>
        <v>0</v>
      </c>
    </row>
    <row r="162" spans="1:7">
      <c r="A162" s="12">
        <f>'1_Precios'!A162</f>
        <v>0</v>
      </c>
      <c r="B162" s="13">
        <f>'1_Precios'!B162/MAX('1_Precios'!B$2:B162)-1</f>
        <v>0</v>
      </c>
      <c r="C162" s="13">
        <f>'1_Precios'!C162/MAX('1_Precios'!C$2:C162)-1</f>
        <v>0</v>
      </c>
      <c r="D162" s="13">
        <f>'1_Precios'!D162/MAX('1_Precios'!D$2:D162)-1</f>
        <v>0</v>
      </c>
      <c r="E162" s="13">
        <f>'1_Precios'!E162/MAX('1_Precios'!E$2:E162)-1</f>
        <v>0</v>
      </c>
      <c r="F162" s="13">
        <f>'1_Precios'!F162/MAX('1_Precios'!F$2:F162)-1</f>
        <v>0</v>
      </c>
      <c r="G162" s="13">
        <f>'1_Precios'!G162/MAX('1_Precios'!G$2:G162)-1</f>
        <v>0</v>
      </c>
    </row>
    <row r="163" spans="1:7">
      <c r="A163" s="12">
        <f>'1_Precios'!A163</f>
        <v>0</v>
      </c>
      <c r="B163" s="13">
        <f>'1_Precios'!B163/MAX('1_Precios'!B$2:B163)-1</f>
        <v>0</v>
      </c>
      <c r="C163" s="13">
        <f>'1_Precios'!C163/MAX('1_Precios'!C$2:C163)-1</f>
        <v>0</v>
      </c>
      <c r="D163" s="13">
        <f>'1_Precios'!D163/MAX('1_Precios'!D$2:D163)-1</f>
        <v>0</v>
      </c>
      <c r="E163" s="13">
        <f>'1_Precios'!E163/MAX('1_Precios'!E$2:E163)-1</f>
        <v>0</v>
      </c>
      <c r="F163" s="13">
        <f>'1_Precios'!F163/MAX('1_Precios'!F$2:F163)-1</f>
        <v>0</v>
      </c>
      <c r="G163" s="13">
        <f>'1_Precios'!G163/MAX('1_Precios'!G$2:G163)-1</f>
        <v>0</v>
      </c>
    </row>
    <row r="164" spans="1:7">
      <c r="A164" s="12">
        <f>'1_Precios'!A164</f>
        <v>0</v>
      </c>
      <c r="B164" s="13">
        <f>'1_Precios'!B164/MAX('1_Precios'!B$2:B164)-1</f>
        <v>0</v>
      </c>
      <c r="C164" s="13">
        <f>'1_Precios'!C164/MAX('1_Precios'!C$2:C164)-1</f>
        <v>0</v>
      </c>
      <c r="D164" s="13">
        <f>'1_Precios'!D164/MAX('1_Precios'!D$2:D164)-1</f>
        <v>0</v>
      </c>
      <c r="E164" s="13">
        <f>'1_Precios'!E164/MAX('1_Precios'!E$2:E164)-1</f>
        <v>0</v>
      </c>
      <c r="F164" s="13">
        <f>'1_Precios'!F164/MAX('1_Precios'!F$2:F164)-1</f>
        <v>0</v>
      </c>
      <c r="G164" s="13">
        <f>'1_Precios'!G164/MAX('1_Precios'!G$2:G164)-1</f>
        <v>0</v>
      </c>
    </row>
    <row r="165" spans="1:7">
      <c r="A165" s="12">
        <f>'1_Precios'!A165</f>
        <v>0</v>
      </c>
      <c r="B165" s="13">
        <f>'1_Precios'!B165/MAX('1_Precios'!B$2:B165)-1</f>
        <v>0</v>
      </c>
      <c r="C165" s="13">
        <f>'1_Precios'!C165/MAX('1_Precios'!C$2:C165)-1</f>
        <v>0</v>
      </c>
      <c r="D165" s="13">
        <f>'1_Precios'!D165/MAX('1_Precios'!D$2:D165)-1</f>
        <v>0</v>
      </c>
      <c r="E165" s="13">
        <f>'1_Precios'!E165/MAX('1_Precios'!E$2:E165)-1</f>
        <v>0</v>
      </c>
      <c r="F165" s="13">
        <f>'1_Precios'!F165/MAX('1_Precios'!F$2:F165)-1</f>
        <v>0</v>
      </c>
      <c r="G165" s="13">
        <f>'1_Precios'!G165/MAX('1_Precios'!G$2:G165)-1</f>
        <v>0</v>
      </c>
    </row>
    <row r="166" spans="1:7">
      <c r="A166" s="12">
        <f>'1_Precios'!A166</f>
        <v>0</v>
      </c>
      <c r="B166" s="13">
        <f>'1_Precios'!B166/MAX('1_Precios'!B$2:B166)-1</f>
        <v>0</v>
      </c>
      <c r="C166" s="13">
        <f>'1_Precios'!C166/MAX('1_Precios'!C$2:C166)-1</f>
        <v>0</v>
      </c>
      <c r="D166" s="13">
        <f>'1_Precios'!D166/MAX('1_Precios'!D$2:D166)-1</f>
        <v>0</v>
      </c>
      <c r="E166" s="13">
        <f>'1_Precios'!E166/MAX('1_Precios'!E$2:E166)-1</f>
        <v>0</v>
      </c>
      <c r="F166" s="13">
        <f>'1_Precios'!F166/MAX('1_Precios'!F$2:F166)-1</f>
        <v>0</v>
      </c>
      <c r="G166" s="13">
        <f>'1_Precios'!G166/MAX('1_Precios'!G$2:G166)-1</f>
        <v>0</v>
      </c>
    </row>
    <row r="167" spans="1:7">
      <c r="A167" s="12">
        <f>'1_Precios'!A167</f>
        <v>0</v>
      </c>
      <c r="B167" s="13">
        <f>'1_Precios'!B167/MAX('1_Precios'!B$2:B167)-1</f>
        <v>0</v>
      </c>
      <c r="C167" s="13">
        <f>'1_Precios'!C167/MAX('1_Precios'!C$2:C167)-1</f>
        <v>0</v>
      </c>
      <c r="D167" s="13">
        <f>'1_Precios'!D167/MAX('1_Precios'!D$2:D167)-1</f>
        <v>0</v>
      </c>
      <c r="E167" s="13">
        <f>'1_Precios'!E167/MAX('1_Precios'!E$2:E167)-1</f>
        <v>0</v>
      </c>
      <c r="F167" s="13">
        <f>'1_Precios'!F167/MAX('1_Precios'!F$2:F167)-1</f>
        <v>0</v>
      </c>
      <c r="G167" s="13">
        <f>'1_Precios'!G167/MAX('1_Precios'!G$2:G167)-1</f>
        <v>0</v>
      </c>
    </row>
    <row r="168" spans="1:7">
      <c r="A168" s="12">
        <f>'1_Precios'!A168</f>
        <v>0</v>
      </c>
      <c r="B168" s="13">
        <f>'1_Precios'!B168/MAX('1_Precios'!B$2:B168)-1</f>
        <v>0</v>
      </c>
      <c r="C168" s="13">
        <f>'1_Precios'!C168/MAX('1_Precios'!C$2:C168)-1</f>
        <v>0</v>
      </c>
      <c r="D168" s="13">
        <f>'1_Precios'!D168/MAX('1_Precios'!D$2:D168)-1</f>
        <v>0</v>
      </c>
      <c r="E168" s="13">
        <f>'1_Precios'!E168/MAX('1_Precios'!E$2:E168)-1</f>
        <v>0</v>
      </c>
      <c r="F168" s="13">
        <f>'1_Precios'!F168/MAX('1_Precios'!F$2:F168)-1</f>
        <v>0</v>
      </c>
      <c r="G168" s="13">
        <f>'1_Precios'!G168/MAX('1_Precios'!G$2:G168)-1</f>
        <v>0</v>
      </c>
    </row>
    <row r="169" spans="1:7">
      <c r="A169" s="12">
        <f>'1_Precios'!A169</f>
        <v>0</v>
      </c>
      <c r="B169" s="13">
        <f>'1_Precios'!B169/MAX('1_Precios'!B$2:B169)-1</f>
        <v>0</v>
      </c>
      <c r="C169" s="13">
        <f>'1_Precios'!C169/MAX('1_Precios'!C$2:C169)-1</f>
        <v>0</v>
      </c>
      <c r="D169" s="13">
        <f>'1_Precios'!D169/MAX('1_Precios'!D$2:D169)-1</f>
        <v>0</v>
      </c>
      <c r="E169" s="13">
        <f>'1_Precios'!E169/MAX('1_Precios'!E$2:E169)-1</f>
        <v>0</v>
      </c>
      <c r="F169" s="13">
        <f>'1_Precios'!F169/MAX('1_Precios'!F$2:F169)-1</f>
        <v>0</v>
      </c>
      <c r="G169" s="13">
        <f>'1_Precios'!G169/MAX('1_Precios'!G$2:G169)-1</f>
        <v>0</v>
      </c>
    </row>
    <row r="170" spans="1:7">
      <c r="A170" s="12">
        <f>'1_Precios'!A170</f>
        <v>0</v>
      </c>
      <c r="B170" s="13">
        <f>'1_Precios'!B170/MAX('1_Precios'!B$2:B170)-1</f>
        <v>0</v>
      </c>
      <c r="C170" s="13">
        <f>'1_Precios'!C170/MAX('1_Precios'!C$2:C170)-1</f>
        <v>0</v>
      </c>
      <c r="D170" s="13">
        <f>'1_Precios'!D170/MAX('1_Precios'!D$2:D170)-1</f>
        <v>0</v>
      </c>
      <c r="E170" s="13">
        <f>'1_Precios'!E170/MAX('1_Precios'!E$2:E170)-1</f>
        <v>0</v>
      </c>
      <c r="F170" s="13">
        <f>'1_Precios'!F170/MAX('1_Precios'!F$2:F170)-1</f>
        <v>0</v>
      </c>
      <c r="G170" s="13">
        <f>'1_Precios'!G170/MAX('1_Precios'!G$2:G170)-1</f>
        <v>0</v>
      </c>
    </row>
    <row r="171" spans="1:7">
      <c r="A171" s="12">
        <f>'1_Precios'!A171</f>
        <v>0</v>
      </c>
      <c r="B171" s="13">
        <f>'1_Precios'!B171/MAX('1_Precios'!B$2:B171)-1</f>
        <v>0</v>
      </c>
      <c r="C171" s="13">
        <f>'1_Precios'!C171/MAX('1_Precios'!C$2:C171)-1</f>
        <v>0</v>
      </c>
      <c r="D171" s="13">
        <f>'1_Precios'!D171/MAX('1_Precios'!D$2:D171)-1</f>
        <v>0</v>
      </c>
      <c r="E171" s="13">
        <f>'1_Precios'!E171/MAX('1_Precios'!E$2:E171)-1</f>
        <v>0</v>
      </c>
      <c r="F171" s="13">
        <f>'1_Precios'!F171/MAX('1_Precios'!F$2:F171)-1</f>
        <v>0</v>
      </c>
      <c r="G171" s="13">
        <f>'1_Precios'!G171/MAX('1_Precios'!G$2:G171)-1</f>
        <v>0</v>
      </c>
    </row>
    <row r="172" spans="1:7">
      <c r="A172" s="12">
        <f>'1_Precios'!A172</f>
        <v>0</v>
      </c>
      <c r="B172" s="13">
        <f>'1_Precios'!B172/MAX('1_Precios'!B$2:B172)-1</f>
        <v>0</v>
      </c>
      <c r="C172" s="13">
        <f>'1_Precios'!C172/MAX('1_Precios'!C$2:C172)-1</f>
        <v>0</v>
      </c>
      <c r="D172" s="13">
        <f>'1_Precios'!D172/MAX('1_Precios'!D$2:D172)-1</f>
        <v>0</v>
      </c>
      <c r="E172" s="13">
        <f>'1_Precios'!E172/MAX('1_Precios'!E$2:E172)-1</f>
        <v>0</v>
      </c>
      <c r="F172" s="13">
        <f>'1_Precios'!F172/MAX('1_Precios'!F$2:F172)-1</f>
        <v>0</v>
      </c>
      <c r="G172" s="13">
        <f>'1_Precios'!G172/MAX('1_Precios'!G$2:G172)-1</f>
        <v>0</v>
      </c>
    </row>
    <row r="173" spans="1:7">
      <c r="A173" s="12">
        <f>'1_Precios'!A173</f>
        <v>0</v>
      </c>
      <c r="B173" s="13">
        <f>'1_Precios'!B173/MAX('1_Precios'!B$2:B173)-1</f>
        <v>0</v>
      </c>
      <c r="C173" s="13">
        <f>'1_Precios'!C173/MAX('1_Precios'!C$2:C173)-1</f>
        <v>0</v>
      </c>
      <c r="D173" s="13">
        <f>'1_Precios'!D173/MAX('1_Precios'!D$2:D173)-1</f>
        <v>0</v>
      </c>
      <c r="E173" s="13">
        <f>'1_Precios'!E173/MAX('1_Precios'!E$2:E173)-1</f>
        <v>0</v>
      </c>
      <c r="F173" s="13">
        <f>'1_Precios'!F173/MAX('1_Precios'!F$2:F173)-1</f>
        <v>0</v>
      </c>
      <c r="G173" s="13">
        <f>'1_Precios'!G173/MAX('1_Precios'!G$2:G173)-1</f>
        <v>0</v>
      </c>
    </row>
    <row r="174" spans="1:7">
      <c r="A174" s="12">
        <f>'1_Precios'!A174</f>
        <v>0</v>
      </c>
      <c r="B174" s="13">
        <f>'1_Precios'!B174/MAX('1_Precios'!B$2:B174)-1</f>
        <v>0</v>
      </c>
      <c r="C174" s="13">
        <f>'1_Precios'!C174/MAX('1_Precios'!C$2:C174)-1</f>
        <v>0</v>
      </c>
      <c r="D174" s="13">
        <f>'1_Precios'!D174/MAX('1_Precios'!D$2:D174)-1</f>
        <v>0</v>
      </c>
      <c r="E174" s="13">
        <f>'1_Precios'!E174/MAX('1_Precios'!E$2:E174)-1</f>
        <v>0</v>
      </c>
      <c r="F174" s="13">
        <f>'1_Precios'!F174/MAX('1_Precios'!F$2:F174)-1</f>
        <v>0</v>
      </c>
      <c r="G174" s="13">
        <f>'1_Precios'!G174/MAX('1_Precios'!G$2:G174)-1</f>
        <v>0</v>
      </c>
    </row>
    <row r="175" spans="1:7">
      <c r="A175" s="12">
        <f>'1_Precios'!A175</f>
        <v>0</v>
      </c>
      <c r="B175" s="13">
        <f>'1_Precios'!B175/MAX('1_Precios'!B$2:B175)-1</f>
        <v>0</v>
      </c>
      <c r="C175" s="13">
        <f>'1_Precios'!C175/MAX('1_Precios'!C$2:C175)-1</f>
        <v>0</v>
      </c>
      <c r="D175" s="13">
        <f>'1_Precios'!D175/MAX('1_Precios'!D$2:D175)-1</f>
        <v>0</v>
      </c>
      <c r="E175" s="13">
        <f>'1_Precios'!E175/MAX('1_Precios'!E$2:E175)-1</f>
        <v>0</v>
      </c>
      <c r="F175" s="13">
        <f>'1_Precios'!F175/MAX('1_Precios'!F$2:F175)-1</f>
        <v>0</v>
      </c>
      <c r="G175" s="13">
        <f>'1_Precios'!G175/MAX('1_Precios'!G$2:G175)-1</f>
        <v>0</v>
      </c>
    </row>
    <row r="176" spans="1:7">
      <c r="A176" s="12">
        <f>'1_Precios'!A176</f>
        <v>0</v>
      </c>
      <c r="B176" s="13">
        <f>'1_Precios'!B176/MAX('1_Precios'!B$2:B176)-1</f>
        <v>0</v>
      </c>
      <c r="C176" s="13">
        <f>'1_Precios'!C176/MAX('1_Precios'!C$2:C176)-1</f>
        <v>0</v>
      </c>
      <c r="D176" s="13">
        <f>'1_Precios'!D176/MAX('1_Precios'!D$2:D176)-1</f>
        <v>0</v>
      </c>
      <c r="E176" s="13">
        <f>'1_Precios'!E176/MAX('1_Precios'!E$2:E176)-1</f>
        <v>0</v>
      </c>
      <c r="F176" s="13">
        <f>'1_Precios'!F176/MAX('1_Precios'!F$2:F176)-1</f>
        <v>0</v>
      </c>
      <c r="G176" s="13">
        <f>'1_Precios'!G176/MAX('1_Precios'!G$2:G176)-1</f>
        <v>0</v>
      </c>
    </row>
    <row r="177" spans="1:7">
      <c r="A177" s="12">
        <f>'1_Precios'!A177</f>
        <v>0</v>
      </c>
      <c r="B177" s="13">
        <f>'1_Precios'!B177/MAX('1_Precios'!B$2:B177)-1</f>
        <v>0</v>
      </c>
      <c r="C177" s="13">
        <f>'1_Precios'!C177/MAX('1_Precios'!C$2:C177)-1</f>
        <v>0</v>
      </c>
      <c r="D177" s="13">
        <f>'1_Precios'!D177/MAX('1_Precios'!D$2:D177)-1</f>
        <v>0</v>
      </c>
      <c r="E177" s="13">
        <f>'1_Precios'!E177/MAX('1_Precios'!E$2:E177)-1</f>
        <v>0</v>
      </c>
      <c r="F177" s="13">
        <f>'1_Precios'!F177/MAX('1_Precios'!F$2:F177)-1</f>
        <v>0</v>
      </c>
      <c r="G177" s="13">
        <f>'1_Precios'!G177/MAX('1_Precios'!G$2:G177)-1</f>
        <v>0</v>
      </c>
    </row>
    <row r="178" spans="1:7">
      <c r="A178" s="12">
        <f>'1_Precios'!A178</f>
        <v>0</v>
      </c>
      <c r="B178" s="13">
        <f>'1_Precios'!B178/MAX('1_Precios'!B$2:B178)-1</f>
        <v>0</v>
      </c>
      <c r="C178" s="13">
        <f>'1_Precios'!C178/MAX('1_Precios'!C$2:C178)-1</f>
        <v>0</v>
      </c>
      <c r="D178" s="13">
        <f>'1_Precios'!D178/MAX('1_Precios'!D$2:D178)-1</f>
        <v>0</v>
      </c>
      <c r="E178" s="13">
        <f>'1_Precios'!E178/MAX('1_Precios'!E$2:E178)-1</f>
        <v>0</v>
      </c>
      <c r="F178" s="13">
        <f>'1_Precios'!F178/MAX('1_Precios'!F$2:F178)-1</f>
        <v>0</v>
      </c>
      <c r="G178" s="13">
        <f>'1_Precios'!G178/MAX('1_Precios'!G$2:G178)-1</f>
        <v>0</v>
      </c>
    </row>
    <row r="179" spans="1:7">
      <c r="A179" s="12">
        <f>'1_Precios'!A179</f>
        <v>0</v>
      </c>
      <c r="B179" s="13">
        <f>'1_Precios'!B179/MAX('1_Precios'!B$2:B179)-1</f>
        <v>0</v>
      </c>
      <c r="C179" s="13">
        <f>'1_Precios'!C179/MAX('1_Precios'!C$2:C179)-1</f>
        <v>0</v>
      </c>
      <c r="D179" s="13">
        <f>'1_Precios'!D179/MAX('1_Precios'!D$2:D179)-1</f>
        <v>0</v>
      </c>
      <c r="E179" s="13">
        <f>'1_Precios'!E179/MAX('1_Precios'!E$2:E179)-1</f>
        <v>0</v>
      </c>
      <c r="F179" s="13">
        <f>'1_Precios'!F179/MAX('1_Precios'!F$2:F179)-1</f>
        <v>0</v>
      </c>
      <c r="G179" s="13">
        <f>'1_Precios'!G179/MAX('1_Precios'!G$2:G179)-1</f>
        <v>0</v>
      </c>
    </row>
    <row r="180" spans="1:7">
      <c r="A180" s="12">
        <f>'1_Precios'!A180</f>
        <v>0</v>
      </c>
      <c r="B180" s="13">
        <f>'1_Precios'!B180/MAX('1_Precios'!B$2:B180)-1</f>
        <v>0</v>
      </c>
      <c r="C180" s="13">
        <f>'1_Precios'!C180/MAX('1_Precios'!C$2:C180)-1</f>
        <v>0</v>
      </c>
      <c r="D180" s="13">
        <f>'1_Precios'!D180/MAX('1_Precios'!D$2:D180)-1</f>
        <v>0</v>
      </c>
      <c r="E180" s="13">
        <f>'1_Precios'!E180/MAX('1_Precios'!E$2:E180)-1</f>
        <v>0</v>
      </c>
      <c r="F180" s="13">
        <f>'1_Precios'!F180/MAX('1_Precios'!F$2:F180)-1</f>
        <v>0</v>
      </c>
      <c r="G180" s="13">
        <f>'1_Precios'!G180/MAX('1_Precios'!G$2:G180)-1</f>
        <v>0</v>
      </c>
    </row>
    <row r="181" spans="1:7">
      <c r="A181" s="12">
        <f>'1_Precios'!A181</f>
        <v>0</v>
      </c>
      <c r="B181" s="13">
        <f>'1_Precios'!B181/MAX('1_Precios'!B$2:B181)-1</f>
        <v>0</v>
      </c>
      <c r="C181" s="13">
        <f>'1_Precios'!C181/MAX('1_Precios'!C$2:C181)-1</f>
        <v>0</v>
      </c>
      <c r="D181" s="13">
        <f>'1_Precios'!D181/MAX('1_Precios'!D$2:D181)-1</f>
        <v>0</v>
      </c>
      <c r="E181" s="13">
        <f>'1_Precios'!E181/MAX('1_Precios'!E$2:E181)-1</f>
        <v>0</v>
      </c>
      <c r="F181" s="13">
        <f>'1_Precios'!F181/MAX('1_Precios'!F$2:F181)-1</f>
        <v>0</v>
      </c>
      <c r="G181" s="13">
        <f>'1_Precios'!G181/MAX('1_Precios'!G$2:G181)-1</f>
        <v>0</v>
      </c>
    </row>
    <row r="182" spans="1:7">
      <c r="A182" s="12">
        <f>'1_Precios'!A182</f>
        <v>0</v>
      </c>
      <c r="B182" s="13">
        <f>'1_Precios'!B182/MAX('1_Precios'!B$2:B182)-1</f>
        <v>0</v>
      </c>
      <c r="C182" s="13">
        <f>'1_Precios'!C182/MAX('1_Precios'!C$2:C182)-1</f>
        <v>0</v>
      </c>
      <c r="D182" s="13">
        <f>'1_Precios'!D182/MAX('1_Precios'!D$2:D182)-1</f>
        <v>0</v>
      </c>
      <c r="E182" s="13">
        <f>'1_Precios'!E182/MAX('1_Precios'!E$2:E182)-1</f>
        <v>0</v>
      </c>
      <c r="F182" s="13">
        <f>'1_Precios'!F182/MAX('1_Precios'!F$2:F182)-1</f>
        <v>0</v>
      </c>
      <c r="G182" s="13">
        <f>'1_Precios'!G182/MAX('1_Precios'!G$2:G182)-1</f>
        <v>0</v>
      </c>
    </row>
    <row r="183" spans="1:7">
      <c r="A183" s="12">
        <f>'1_Precios'!A183</f>
        <v>0</v>
      </c>
      <c r="B183" s="13">
        <f>'1_Precios'!B183/MAX('1_Precios'!B$2:B183)-1</f>
        <v>0</v>
      </c>
      <c r="C183" s="13">
        <f>'1_Precios'!C183/MAX('1_Precios'!C$2:C183)-1</f>
        <v>0</v>
      </c>
      <c r="D183" s="13">
        <f>'1_Precios'!D183/MAX('1_Precios'!D$2:D183)-1</f>
        <v>0</v>
      </c>
      <c r="E183" s="13">
        <f>'1_Precios'!E183/MAX('1_Precios'!E$2:E183)-1</f>
        <v>0</v>
      </c>
      <c r="F183" s="13">
        <f>'1_Precios'!F183/MAX('1_Precios'!F$2:F183)-1</f>
        <v>0</v>
      </c>
      <c r="G183" s="13">
        <f>'1_Precios'!G183/MAX('1_Precios'!G$2:G183)-1</f>
        <v>0</v>
      </c>
    </row>
    <row r="184" spans="1:7">
      <c r="A184" s="12">
        <f>'1_Precios'!A184</f>
        <v>0</v>
      </c>
      <c r="B184" s="13">
        <f>'1_Precios'!B184/MAX('1_Precios'!B$2:B184)-1</f>
        <v>0</v>
      </c>
      <c r="C184" s="13">
        <f>'1_Precios'!C184/MAX('1_Precios'!C$2:C184)-1</f>
        <v>0</v>
      </c>
      <c r="D184" s="13">
        <f>'1_Precios'!D184/MAX('1_Precios'!D$2:D184)-1</f>
        <v>0</v>
      </c>
      <c r="E184" s="13">
        <f>'1_Precios'!E184/MAX('1_Precios'!E$2:E184)-1</f>
        <v>0</v>
      </c>
      <c r="F184" s="13">
        <f>'1_Precios'!F184/MAX('1_Precios'!F$2:F184)-1</f>
        <v>0</v>
      </c>
      <c r="G184" s="13">
        <f>'1_Precios'!G184/MAX('1_Precios'!G$2:G184)-1</f>
        <v>0</v>
      </c>
    </row>
    <row r="185" spans="1:7">
      <c r="A185" s="12">
        <f>'1_Precios'!A185</f>
        <v>0</v>
      </c>
      <c r="B185" s="13">
        <f>'1_Precios'!B185/MAX('1_Precios'!B$2:B185)-1</f>
        <v>0</v>
      </c>
      <c r="C185" s="13">
        <f>'1_Precios'!C185/MAX('1_Precios'!C$2:C185)-1</f>
        <v>0</v>
      </c>
      <c r="D185" s="13">
        <f>'1_Precios'!D185/MAX('1_Precios'!D$2:D185)-1</f>
        <v>0</v>
      </c>
      <c r="E185" s="13">
        <f>'1_Precios'!E185/MAX('1_Precios'!E$2:E185)-1</f>
        <v>0</v>
      </c>
      <c r="F185" s="13">
        <f>'1_Precios'!F185/MAX('1_Precios'!F$2:F185)-1</f>
        <v>0</v>
      </c>
      <c r="G185" s="13">
        <f>'1_Precios'!G185/MAX('1_Precios'!G$2:G185)-1</f>
        <v>0</v>
      </c>
    </row>
    <row r="186" spans="1:7">
      <c r="A186" s="12">
        <f>'1_Precios'!A186</f>
        <v>0</v>
      </c>
      <c r="B186" s="13">
        <f>'1_Precios'!B186/MAX('1_Precios'!B$2:B186)-1</f>
        <v>0</v>
      </c>
      <c r="C186" s="13">
        <f>'1_Precios'!C186/MAX('1_Precios'!C$2:C186)-1</f>
        <v>0</v>
      </c>
      <c r="D186" s="13">
        <f>'1_Precios'!D186/MAX('1_Precios'!D$2:D186)-1</f>
        <v>0</v>
      </c>
      <c r="E186" s="13">
        <f>'1_Precios'!E186/MAX('1_Precios'!E$2:E186)-1</f>
        <v>0</v>
      </c>
      <c r="F186" s="13">
        <f>'1_Precios'!F186/MAX('1_Precios'!F$2:F186)-1</f>
        <v>0</v>
      </c>
      <c r="G186" s="13">
        <f>'1_Precios'!G186/MAX('1_Precios'!G$2:G186)-1</f>
        <v>0</v>
      </c>
    </row>
    <row r="187" spans="1:7">
      <c r="A187" s="12">
        <f>'1_Precios'!A187</f>
        <v>0</v>
      </c>
      <c r="B187" s="13">
        <f>'1_Precios'!B187/MAX('1_Precios'!B$2:B187)-1</f>
        <v>0</v>
      </c>
      <c r="C187" s="13">
        <f>'1_Precios'!C187/MAX('1_Precios'!C$2:C187)-1</f>
        <v>0</v>
      </c>
      <c r="D187" s="13">
        <f>'1_Precios'!D187/MAX('1_Precios'!D$2:D187)-1</f>
        <v>0</v>
      </c>
      <c r="E187" s="13">
        <f>'1_Precios'!E187/MAX('1_Precios'!E$2:E187)-1</f>
        <v>0</v>
      </c>
      <c r="F187" s="13">
        <f>'1_Precios'!F187/MAX('1_Precios'!F$2:F187)-1</f>
        <v>0</v>
      </c>
      <c r="G187" s="13">
        <f>'1_Precios'!G187/MAX('1_Precios'!G$2:G187)-1</f>
        <v>0</v>
      </c>
    </row>
    <row r="188" spans="1:7">
      <c r="A188" s="12">
        <f>'1_Precios'!A188</f>
        <v>0</v>
      </c>
      <c r="B188" s="13">
        <f>'1_Precios'!B188/MAX('1_Precios'!B$2:B188)-1</f>
        <v>0</v>
      </c>
      <c r="C188" s="13">
        <f>'1_Precios'!C188/MAX('1_Precios'!C$2:C188)-1</f>
        <v>0</v>
      </c>
      <c r="D188" s="13">
        <f>'1_Precios'!D188/MAX('1_Precios'!D$2:D188)-1</f>
        <v>0</v>
      </c>
      <c r="E188" s="13">
        <f>'1_Precios'!E188/MAX('1_Precios'!E$2:E188)-1</f>
        <v>0</v>
      </c>
      <c r="F188" s="13">
        <f>'1_Precios'!F188/MAX('1_Precios'!F$2:F188)-1</f>
        <v>0</v>
      </c>
      <c r="G188" s="13">
        <f>'1_Precios'!G188/MAX('1_Precios'!G$2:G188)-1</f>
        <v>0</v>
      </c>
    </row>
    <row r="189" spans="1:7">
      <c r="A189" s="12">
        <f>'1_Precios'!A189</f>
        <v>0</v>
      </c>
      <c r="B189" s="13">
        <f>'1_Precios'!B189/MAX('1_Precios'!B$2:B189)-1</f>
        <v>0</v>
      </c>
      <c r="C189" s="13">
        <f>'1_Precios'!C189/MAX('1_Precios'!C$2:C189)-1</f>
        <v>0</v>
      </c>
      <c r="D189" s="13">
        <f>'1_Precios'!D189/MAX('1_Precios'!D$2:D189)-1</f>
        <v>0</v>
      </c>
      <c r="E189" s="13">
        <f>'1_Precios'!E189/MAX('1_Precios'!E$2:E189)-1</f>
        <v>0</v>
      </c>
      <c r="F189" s="13">
        <f>'1_Precios'!F189/MAX('1_Precios'!F$2:F189)-1</f>
        <v>0</v>
      </c>
      <c r="G189" s="13">
        <f>'1_Precios'!G189/MAX('1_Precios'!G$2:G189)-1</f>
        <v>0</v>
      </c>
    </row>
    <row r="190" spans="1:7">
      <c r="A190" s="12">
        <f>'1_Precios'!A190</f>
        <v>0</v>
      </c>
      <c r="B190" s="13">
        <f>'1_Precios'!B190/MAX('1_Precios'!B$2:B190)-1</f>
        <v>0</v>
      </c>
      <c r="C190" s="13">
        <f>'1_Precios'!C190/MAX('1_Precios'!C$2:C190)-1</f>
        <v>0</v>
      </c>
      <c r="D190" s="13">
        <f>'1_Precios'!D190/MAX('1_Precios'!D$2:D190)-1</f>
        <v>0</v>
      </c>
      <c r="E190" s="13">
        <f>'1_Precios'!E190/MAX('1_Precios'!E$2:E190)-1</f>
        <v>0</v>
      </c>
      <c r="F190" s="13">
        <f>'1_Precios'!F190/MAX('1_Precios'!F$2:F190)-1</f>
        <v>0</v>
      </c>
      <c r="G190" s="13">
        <f>'1_Precios'!G190/MAX('1_Precios'!G$2:G190)-1</f>
        <v>0</v>
      </c>
    </row>
    <row r="191" spans="1:7">
      <c r="A191" s="12">
        <f>'1_Precios'!A191</f>
        <v>0</v>
      </c>
      <c r="B191" s="13">
        <f>'1_Precios'!B191/MAX('1_Precios'!B$2:B191)-1</f>
        <v>0</v>
      </c>
      <c r="C191" s="13">
        <f>'1_Precios'!C191/MAX('1_Precios'!C$2:C191)-1</f>
        <v>0</v>
      </c>
      <c r="D191" s="13">
        <f>'1_Precios'!D191/MAX('1_Precios'!D$2:D191)-1</f>
        <v>0</v>
      </c>
      <c r="E191" s="13">
        <f>'1_Precios'!E191/MAX('1_Precios'!E$2:E191)-1</f>
        <v>0</v>
      </c>
      <c r="F191" s="13">
        <f>'1_Precios'!F191/MAX('1_Precios'!F$2:F191)-1</f>
        <v>0</v>
      </c>
      <c r="G191" s="13">
        <f>'1_Precios'!G191/MAX('1_Precios'!G$2:G191)-1</f>
        <v>0</v>
      </c>
    </row>
    <row r="192" spans="1:7">
      <c r="A192" s="12">
        <f>'1_Precios'!A192</f>
        <v>0</v>
      </c>
      <c r="B192" s="13">
        <f>'1_Precios'!B192/MAX('1_Precios'!B$2:B192)-1</f>
        <v>0</v>
      </c>
      <c r="C192" s="13">
        <f>'1_Precios'!C192/MAX('1_Precios'!C$2:C192)-1</f>
        <v>0</v>
      </c>
      <c r="D192" s="13">
        <f>'1_Precios'!D192/MAX('1_Precios'!D$2:D192)-1</f>
        <v>0</v>
      </c>
      <c r="E192" s="13">
        <f>'1_Precios'!E192/MAX('1_Precios'!E$2:E192)-1</f>
        <v>0</v>
      </c>
      <c r="F192" s="13">
        <f>'1_Precios'!F192/MAX('1_Precios'!F$2:F192)-1</f>
        <v>0</v>
      </c>
      <c r="G192" s="13">
        <f>'1_Precios'!G192/MAX('1_Precios'!G$2:G192)-1</f>
        <v>0</v>
      </c>
    </row>
    <row r="193" spans="1:7">
      <c r="A193" s="12">
        <f>'1_Precios'!A193</f>
        <v>0</v>
      </c>
      <c r="B193" s="13">
        <f>'1_Precios'!B193/MAX('1_Precios'!B$2:B193)-1</f>
        <v>0</v>
      </c>
      <c r="C193" s="13">
        <f>'1_Precios'!C193/MAX('1_Precios'!C$2:C193)-1</f>
        <v>0</v>
      </c>
      <c r="D193" s="13">
        <f>'1_Precios'!D193/MAX('1_Precios'!D$2:D193)-1</f>
        <v>0</v>
      </c>
      <c r="E193" s="13">
        <f>'1_Precios'!E193/MAX('1_Precios'!E$2:E193)-1</f>
        <v>0</v>
      </c>
      <c r="F193" s="13">
        <f>'1_Precios'!F193/MAX('1_Precios'!F$2:F193)-1</f>
        <v>0</v>
      </c>
      <c r="G193" s="13">
        <f>'1_Precios'!G193/MAX('1_Precios'!G$2:G193)-1</f>
        <v>0</v>
      </c>
    </row>
    <row r="194" spans="1:7">
      <c r="A194" s="12">
        <f>'1_Precios'!A194</f>
        <v>0</v>
      </c>
      <c r="B194" s="13">
        <f>'1_Precios'!B194/MAX('1_Precios'!B$2:B194)-1</f>
        <v>0</v>
      </c>
      <c r="C194" s="13">
        <f>'1_Precios'!C194/MAX('1_Precios'!C$2:C194)-1</f>
        <v>0</v>
      </c>
      <c r="D194" s="13">
        <f>'1_Precios'!D194/MAX('1_Precios'!D$2:D194)-1</f>
        <v>0</v>
      </c>
      <c r="E194" s="13">
        <f>'1_Precios'!E194/MAX('1_Precios'!E$2:E194)-1</f>
        <v>0</v>
      </c>
      <c r="F194" s="13">
        <f>'1_Precios'!F194/MAX('1_Precios'!F$2:F194)-1</f>
        <v>0</v>
      </c>
      <c r="G194" s="13">
        <f>'1_Precios'!G194/MAX('1_Precios'!G$2:G194)-1</f>
        <v>0</v>
      </c>
    </row>
    <row r="195" spans="1:7">
      <c r="A195" s="12">
        <f>'1_Precios'!A195</f>
        <v>0</v>
      </c>
      <c r="B195" s="13">
        <f>'1_Precios'!B195/MAX('1_Precios'!B$2:B195)-1</f>
        <v>0</v>
      </c>
      <c r="C195" s="13">
        <f>'1_Precios'!C195/MAX('1_Precios'!C$2:C195)-1</f>
        <v>0</v>
      </c>
      <c r="D195" s="13">
        <f>'1_Precios'!D195/MAX('1_Precios'!D$2:D195)-1</f>
        <v>0</v>
      </c>
      <c r="E195" s="13">
        <f>'1_Precios'!E195/MAX('1_Precios'!E$2:E195)-1</f>
        <v>0</v>
      </c>
      <c r="F195" s="13">
        <f>'1_Precios'!F195/MAX('1_Precios'!F$2:F195)-1</f>
        <v>0</v>
      </c>
      <c r="G195" s="13">
        <f>'1_Precios'!G195/MAX('1_Precios'!G$2:G195)-1</f>
        <v>0</v>
      </c>
    </row>
    <row r="196" spans="1:7">
      <c r="A196" s="12">
        <f>'1_Precios'!A196</f>
        <v>0</v>
      </c>
      <c r="B196" s="13">
        <f>'1_Precios'!B196/MAX('1_Precios'!B$2:B196)-1</f>
        <v>0</v>
      </c>
      <c r="C196" s="13">
        <f>'1_Precios'!C196/MAX('1_Precios'!C$2:C196)-1</f>
        <v>0</v>
      </c>
      <c r="D196" s="13">
        <f>'1_Precios'!D196/MAX('1_Precios'!D$2:D196)-1</f>
        <v>0</v>
      </c>
      <c r="E196" s="13">
        <f>'1_Precios'!E196/MAX('1_Precios'!E$2:E196)-1</f>
        <v>0</v>
      </c>
      <c r="F196" s="13">
        <f>'1_Precios'!F196/MAX('1_Precios'!F$2:F196)-1</f>
        <v>0</v>
      </c>
      <c r="G196" s="13">
        <f>'1_Precios'!G196/MAX('1_Precios'!G$2:G196)-1</f>
        <v>0</v>
      </c>
    </row>
    <row r="197" spans="1:7">
      <c r="A197" s="12">
        <f>'1_Precios'!A197</f>
        <v>0</v>
      </c>
      <c r="B197" s="13">
        <f>'1_Precios'!B197/MAX('1_Precios'!B$2:B197)-1</f>
        <v>0</v>
      </c>
      <c r="C197" s="13">
        <f>'1_Precios'!C197/MAX('1_Precios'!C$2:C197)-1</f>
        <v>0</v>
      </c>
      <c r="D197" s="13">
        <f>'1_Precios'!D197/MAX('1_Precios'!D$2:D197)-1</f>
        <v>0</v>
      </c>
      <c r="E197" s="13">
        <f>'1_Precios'!E197/MAX('1_Precios'!E$2:E197)-1</f>
        <v>0</v>
      </c>
      <c r="F197" s="13">
        <f>'1_Precios'!F197/MAX('1_Precios'!F$2:F197)-1</f>
        <v>0</v>
      </c>
      <c r="G197" s="13">
        <f>'1_Precios'!G197/MAX('1_Precios'!G$2:G197)-1</f>
        <v>0</v>
      </c>
    </row>
    <row r="198" spans="1:7">
      <c r="A198" s="12">
        <f>'1_Precios'!A198</f>
        <v>0</v>
      </c>
      <c r="B198" s="13">
        <f>'1_Precios'!B198/MAX('1_Precios'!B$2:B198)-1</f>
        <v>0</v>
      </c>
      <c r="C198" s="13">
        <f>'1_Precios'!C198/MAX('1_Precios'!C$2:C198)-1</f>
        <v>0</v>
      </c>
      <c r="D198" s="13">
        <f>'1_Precios'!D198/MAX('1_Precios'!D$2:D198)-1</f>
        <v>0</v>
      </c>
      <c r="E198" s="13">
        <f>'1_Precios'!E198/MAX('1_Precios'!E$2:E198)-1</f>
        <v>0</v>
      </c>
      <c r="F198" s="13">
        <f>'1_Precios'!F198/MAX('1_Precios'!F$2:F198)-1</f>
        <v>0</v>
      </c>
      <c r="G198" s="13">
        <f>'1_Precios'!G198/MAX('1_Precios'!G$2:G198)-1</f>
        <v>0</v>
      </c>
    </row>
    <row r="199" spans="1:7">
      <c r="A199" s="12">
        <f>'1_Precios'!A199</f>
        <v>0</v>
      </c>
      <c r="B199" s="13">
        <f>'1_Precios'!B199/MAX('1_Precios'!B$2:B199)-1</f>
        <v>0</v>
      </c>
      <c r="C199" s="13">
        <f>'1_Precios'!C199/MAX('1_Precios'!C$2:C199)-1</f>
        <v>0</v>
      </c>
      <c r="D199" s="13">
        <f>'1_Precios'!D199/MAX('1_Precios'!D$2:D199)-1</f>
        <v>0</v>
      </c>
      <c r="E199" s="13">
        <f>'1_Precios'!E199/MAX('1_Precios'!E$2:E199)-1</f>
        <v>0</v>
      </c>
      <c r="F199" s="13">
        <f>'1_Precios'!F199/MAX('1_Precios'!F$2:F199)-1</f>
        <v>0</v>
      </c>
      <c r="G199" s="13">
        <f>'1_Precios'!G199/MAX('1_Precios'!G$2:G199)-1</f>
        <v>0</v>
      </c>
    </row>
    <row r="200" spans="1:7">
      <c r="A200" s="12">
        <f>'1_Precios'!A200</f>
        <v>0</v>
      </c>
      <c r="B200" s="13">
        <f>'1_Precios'!B200/MAX('1_Precios'!B$2:B200)-1</f>
        <v>0</v>
      </c>
      <c r="C200" s="13">
        <f>'1_Precios'!C200/MAX('1_Precios'!C$2:C200)-1</f>
        <v>0</v>
      </c>
      <c r="D200" s="13">
        <f>'1_Precios'!D200/MAX('1_Precios'!D$2:D200)-1</f>
        <v>0</v>
      </c>
      <c r="E200" s="13">
        <f>'1_Precios'!E200/MAX('1_Precios'!E$2:E200)-1</f>
        <v>0</v>
      </c>
      <c r="F200" s="13">
        <f>'1_Precios'!F200/MAX('1_Precios'!F$2:F200)-1</f>
        <v>0</v>
      </c>
      <c r="G200" s="13">
        <f>'1_Precios'!G200/MAX('1_Precios'!G$2:G200)-1</f>
        <v>0</v>
      </c>
    </row>
    <row r="201" spans="1:7">
      <c r="A201" s="12">
        <f>'1_Precios'!A201</f>
        <v>0</v>
      </c>
      <c r="B201" s="13">
        <f>'1_Precios'!B201/MAX('1_Precios'!B$2:B201)-1</f>
        <v>0</v>
      </c>
      <c r="C201" s="13">
        <f>'1_Precios'!C201/MAX('1_Precios'!C$2:C201)-1</f>
        <v>0</v>
      </c>
      <c r="D201" s="13">
        <f>'1_Precios'!D201/MAX('1_Precios'!D$2:D201)-1</f>
        <v>0</v>
      </c>
      <c r="E201" s="13">
        <f>'1_Precios'!E201/MAX('1_Precios'!E$2:E201)-1</f>
        <v>0</v>
      </c>
      <c r="F201" s="13">
        <f>'1_Precios'!F201/MAX('1_Precios'!F$2:F201)-1</f>
        <v>0</v>
      </c>
      <c r="G201" s="13">
        <f>'1_Precios'!G201/MAX('1_Precios'!G$2:G201)-1</f>
        <v>0</v>
      </c>
    </row>
    <row r="202" spans="1:7">
      <c r="A202" s="12">
        <f>'1_Precios'!A202</f>
        <v>0</v>
      </c>
      <c r="B202" s="13">
        <f>'1_Precios'!B202/MAX('1_Precios'!B$2:B202)-1</f>
        <v>0</v>
      </c>
      <c r="C202" s="13">
        <f>'1_Precios'!C202/MAX('1_Precios'!C$2:C202)-1</f>
        <v>0</v>
      </c>
      <c r="D202" s="13">
        <f>'1_Precios'!D202/MAX('1_Precios'!D$2:D202)-1</f>
        <v>0</v>
      </c>
      <c r="E202" s="13">
        <f>'1_Precios'!E202/MAX('1_Precios'!E$2:E202)-1</f>
        <v>0</v>
      </c>
      <c r="F202" s="13">
        <f>'1_Precios'!F202/MAX('1_Precios'!F$2:F202)-1</f>
        <v>0</v>
      </c>
      <c r="G202" s="13">
        <f>'1_Precios'!G202/MAX('1_Precios'!G$2:G202)-1</f>
        <v>0</v>
      </c>
    </row>
    <row r="203" spans="1:7">
      <c r="A203" s="12">
        <f>'1_Precios'!A203</f>
        <v>0</v>
      </c>
      <c r="B203" s="13">
        <f>'1_Precios'!B203/MAX('1_Precios'!B$2:B203)-1</f>
        <v>0</v>
      </c>
      <c r="C203" s="13">
        <f>'1_Precios'!C203/MAX('1_Precios'!C$2:C203)-1</f>
        <v>0</v>
      </c>
      <c r="D203" s="13">
        <f>'1_Precios'!D203/MAX('1_Precios'!D$2:D203)-1</f>
        <v>0</v>
      </c>
      <c r="E203" s="13">
        <f>'1_Precios'!E203/MAX('1_Precios'!E$2:E203)-1</f>
        <v>0</v>
      </c>
      <c r="F203" s="13">
        <f>'1_Precios'!F203/MAX('1_Precios'!F$2:F203)-1</f>
        <v>0</v>
      </c>
      <c r="G203" s="13">
        <f>'1_Precios'!G203/MAX('1_Precios'!G$2:G203)-1</f>
        <v>0</v>
      </c>
    </row>
    <row r="204" spans="1:7">
      <c r="A204" s="12">
        <f>'1_Precios'!A204</f>
        <v>0</v>
      </c>
      <c r="B204" s="13">
        <f>'1_Precios'!B204/MAX('1_Precios'!B$2:B204)-1</f>
        <v>0</v>
      </c>
      <c r="C204" s="13">
        <f>'1_Precios'!C204/MAX('1_Precios'!C$2:C204)-1</f>
        <v>0</v>
      </c>
      <c r="D204" s="13">
        <f>'1_Precios'!D204/MAX('1_Precios'!D$2:D204)-1</f>
        <v>0</v>
      </c>
      <c r="E204" s="13">
        <f>'1_Precios'!E204/MAX('1_Precios'!E$2:E204)-1</f>
        <v>0</v>
      </c>
      <c r="F204" s="13">
        <f>'1_Precios'!F204/MAX('1_Precios'!F$2:F204)-1</f>
        <v>0</v>
      </c>
      <c r="G204" s="13">
        <f>'1_Precios'!G204/MAX('1_Precios'!G$2:G204)-1</f>
        <v>0</v>
      </c>
    </row>
    <row r="205" spans="1:7">
      <c r="A205" s="12">
        <f>'1_Precios'!A205</f>
        <v>0</v>
      </c>
      <c r="B205" s="13">
        <f>'1_Precios'!B205/MAX('1_Precios'!B$2:B205)-1</f>
        <v>0</v>
      </c>
      <c r="C205" s="13">
        <f>'1_Precios'!C205/MAX('1_Precios'!C$2:C205)-1</f>
        <v>0</v>
      </c>
      <c r="D205" s="13">
        <f>'1_Precios'!D205/MAX('1_Precios'!D$2:D205)-1</f>
        <v>0</v>
      </c>
      <c r="E205" s="13">
        <f>'1_Precios'!E205/MAX('1_Precios'!E$2:E205)-1</f>
        <v>0</v>
      </c>
      <c r="F205" s="13">
        <f>'1_Precios'!F205/MAX('1_Precios'!F$2:F205)-1</f>
        <v>0</v>
      </c>
      <c r="G205" s="13">
        <f>'1_Precios'!G205/MAX('1_Precios'!G$2:G205)-1</f>
        <v>0</v>
      </c>
    </row>
    <row r="206" spans="1:7">
      <c r="A206" s="12">
        <f>'1_Precios'!A206</f>
        <v>0</v>
      </c>
      <c r="B206" s="13">
        <f>'1_Precios'!B206/MAX('1_Precios'!B$2:B206)-1</f>
        <v>0</v>
      </c>
      <c r="C206" s="13">
        <f>'1_Precios'!C206/MAX('1_Precios'!C$2:C206)-1</f>
        <v>0</v>
      </c>
      <c r="D206" s="13">
        <f>'1_Precios'!D206/MAX('1_Precios'!D$2:D206)-1</f>
        <v>0</v>
      </c>
      <c r="E206" s="13">
        <f>'1_Precios'!E206/MAX('1_Precios'!E$2:E206)-1</f>
        <v>0</v>
      </c>
      <c r="F206" s="13">
        <f>'1_Precios'!F206/MAX('1_Precios'!F$2:F206)-1</f>
        <v>0</v>
      </c>
      <c r="G206" s="13">
        <f>'1_Precios'!G206/MAX('1_Precios'!G$2:G206)-1</f>
        <v>0</v>
      </c>
    </row>
    <row r="207" spans="1:7">
      <c r="A207" s="12">
        <f>'1_Precios'!A207</f>
        <v>0</v>
      </c>
      <c r="B207" s="13">
        <f>'1_Precios'!B207/MAX('1_Precios'!B$2:B207)-1</f>
        <v>0</v>
      </c>
      <c r="C207" s="13">
        <f>'1_Precios'!C207/MAX('1_Precios'!C$2:C207)-1</f>
        <v>0</v>
      </c>
      <c r="D207" s="13">
        <f>'1_Precios'!D207/MAX('1_Precios'!D$2:D207)-1</f>
        <v>0</v>
      </c>
      <c r="E207" s="13">
        <f>'1_Precios'!E207/MAX('1_Precios'!E$2:E207)-1</f>
        <v>0</v>
      </c>
      <c r="F207" s="13">
        <f>'1_Precios'!F207/MAX('1_Precios'!F$2:F207)-1</f>
        <v>0</v>
      </c>
      <c r="G207" s="13">
        <f>'1_Precios'!G207/MAX('1_Precios'!G$2:G207)-1</f>
        <v>0</v>
      </c>
    </row>
    <row r="208" spans="1:7">
      <c r="A208" s="12">
        <f>'1_Precios'!A208</f>
        <v>0</v>
      </c>
      <c r="B208" s="13">
        <f>'1_Precios'!B208/MAX('1_Precios'!B$2:B208)-1</f>
        <v>0</v>
      </c>
      <c r="C208" s="13">
        <f>'1_Precios'!C208/MAX('1_Precios'!C$2:C208)-1</f>
        <v>0</v>
      </c>
      <c r="D208" s="13">
        <f>'1_Precios'!D208/MAX('1_Precios'!D$2:D208)-1</f>
        <v>0</v>
      </c>
      <c r="E208" s="13">
        <f>'1_Precios'!E208/MAX('1_Precios'!E$2:E208)-1</f>
        <v>0</v>
      </c>
      <c r="F208" s="13">
        <f>'1_Precios'!F208/MAX('1_Precios'!F$2:F208)-1</f>
        <v>0</v>
      </c>
      <c r="G208" s="13">
        <f>'1_Precios'!G208/MAX('1_Precios'!G$2:G208)-1</f>
        <v>0</v>
      </c>
    </row>
    <row r="209" spans="1:7">
      <c r="A209" s="12">
        <f>'1_Precios'!A209</f>
        <v>0</v>
      </c>
      <c r="B209" s="13">
        <f>'1_Precios'!B209/MAX('1_Precios'!B$2:B209)-1</f>
        <v>0</v>
      </c>
      <c r="C209" s="13">
        <f>'1_Precios'!C209/MAX('1_Precios'!C$2:C209)-1</f>
        <v>0</v>
      </c>
      <c r="D209" s="13">
        <f>'1_Precios'!D209/MAX('1_Precios'!D$2:D209)-1</f>
        <v>0</v>
      </c>
      <c r="E209" s="13">
        <f>'1_Precios'!E209/MAX('1_Precios'!E$2:E209)-1</f>
        <v>0</v>
      </c>
      <c r="F209" s="13">
        <f>'1_Precios'!F209/MAX('1_Precios'!F$2:F209)-1</f>
        <v>0</v>
      </c>
      <c r="G209" s="13">
        <f>'1_Precios'!G209/MAX('1_Precios'!G$2:G209)-1</f>
        <v>0</v>
      </c>
    </row>
    <row r="210" spans="1:7">
      <c r="A210" s="12">
        <f>'1_Precios'!A210</f>
        <v>0</v>
      </c>
      <c r="B210" s="13">
        <f>'1_Precios'!B210/MAX('1_Precios'!B$2:B210)-1</f>
        <v>0</v>
      </c>
      <c r="C210" s="13">
        <f>'1_Precios'!C210/MAX('1_Precios'!C$2:C210)-1</f>
        <v>0</v>
      </c>
      <c r="D210" s="13">
        <f>'1_Precios'!D210/MAX('1_Precios'!D$2:D210)-1</f>
        <v>0</v>
      </c>
      <c r="E210" s="13">
        <f>'1_Precios'!E210/MAX('1_Precios'!E$2:E210)-1</f>
        <v>0</v>
      </c>
      <c r="F210" s="13">
        <f>'1_Precios'!F210/MAX('1_Precios'!F$2:F210)-1</f>
        <v>0</v>
      </c>
      <c r="G210" s="13">
        <f>'1_Precios'!G210/MAX('1_Precios'!G$2:G210)-1</f>
        <v>0</v>
      </c>
    </row>
    <row r="211" spans="1:7">
      <c r="A211" s="12">
        <f>'1_Precios'!A211</f>
        <v>0</v>
      </c>
      <c r="B211" s="13">
        <f>'1_Precios'!B211/MAX('1_Precios'!B$2:B211)-1</f>
        <v>0</v>
      </c>
      <c r="C211" s="13">
        <f>'1_Precios'!C211/MAX('1_Precios'!C$2:C211)-1</f>
        <v>0</v>
      </c>
      <c r="D211" s="13">
        <f>'1_Precios'!D211/MAX('1_Precios'!D$2:D211)-1</f>
        <v>0</v>
      </c>
      <c r="E211" s="13">
        <f>'1_Precios'!E211/MAX('1_Precios'!E$2:E211)-1</f>
        <v>0</v>
      </c>
      <c r="F211" s="13">
        <f>'1_Precios'!F211/MAX('1_Precios'!F$2:F211)-1</f>
        <v>0</v>
      </c>
      <c r="G211" s="13">
        <f>'1_Precios'!G211/MAX('1_Precios'!G$2:G211)-1</f>
        <v>0</v>
      </c>
    </row>
    <row r="212" spans="1:7">
      <c r="A212" s="12">
        <f>'1_Precios'!A212</f>
        <v>0</v>
      </c>
      <c r="B212" s="13">
        <f>'1_Precios'!B212/MAX('1_Precios'!B$2:B212)-1</f>
        <v>0</v>
      </c>
      <c r="C212" s="13">
        <f>'1_Precios'!C212/MAX('1_Precios'!C$2:C212)-1</f>
        <v>0</v>
      </c>
      <c r="D212" s="13">
        <f>'1_Precios'!D212/MAX('1_Precios'!D$2:D212)-1</f>
        <v>0</v>
      </c>
      <c r="E212" s="13">
        <f>'1_Precios'!E212/MAX('1_Precios'!E$2:E212)-1</f>
        <v>0</v>
      </c>
      <c r="F212" s="13">
        <f>'1_Precios'!F212/MAX('1_Precios'!F$2:F212)-1</f>
        <v>0</v>
      </c>
      <c r="G212" s="13">
        <f>'1_Precios'!G212/MAX('1_Precios'!G$2:G212)-1</f>
        <v>0</v>
      </c>
    </row>
    <row r="213" spans="1:7">
      <c r="A213" s="12">
        <f>'1_Precios'!A213</f>
        <v>0</v>
      </c>
      <c r="B213" s="13">
        <f>'1_Precios'!B213/MAX('1_Precios'!B$2:B213)-1</f>
        <v>0</v>
      </c>
      <c r="C213" s="13">
        <f>'1_Precios'!C213/MAX('1_Precios'!C$2:C213)-1</f>
        <v>0</v>
      </c>
      <c r="D213" s="13">
        <f>'1_Precios'!D213/MAX('1_Precios'!D$2:D213)-1</f>
        <v>0</v>
      </c>
      <c r="E213" s="13">
        <f>'1_Precios'!E213/MAX('1_Precios'!E$2:E213)-1</f>
        <v>0</v>
      </c>
      <c r="F213" s="13">
        <f>'1_Precios'!F213/MAX('1_Precios'!F$2:F213)-1</f>
        <v>0</v>
      </c>
      <c r="G213" s="13">
        <f>'1_Precios'!G213/MAX('1_Precios'!G$2:G213)-1</f>
        <v>0</v>
      </c>
    </row>
    <row r="214" spans="1:7">
      <c r="A214" s="12">
        <f>'1_Precios'!A214</f>
        <v>0</v>
      </c>
      <c r="B214" s="13">
        <f>'1_Precios'!B214/MAX('1_Precios'!B$2:B214)-1</f>
        <v>0</v>
      </c>
      <c r="C214" s="13">
        <f>'1_Precios'!C214/MAX('1_Precios'!C$2:C214)-1</f>
        <v>0</v>
      </c>
      <c r="D214" s="13">
        <f>'1_Precios'!D214/MAX('1_Precios'!D$2:D214)-1</f>
        <v>0</v>
      </c>
      <c r="E214" s="13">
        <f>'1_Precios'!E214/MAX('1_Precios'!E$2:E214)-1</f>
        <v>0</v>
      </c>
      <c r="F214" s="13">
        <f>'1_Precios'!F214/MAX('1_Precios'!F$2:F214)-1</f>
        <v>0</v>
      </c>
      <c r="G214" s="13">
        <f>'1_Precios'!G214/MAX('1_Precios'!G$2:G214)-1</f>
        <v>0</v>
      </c>
    </row>
    <row r="215" spans="1:7">
      <c r="A215" s="12">
        <f>'1_Precios'!A215</f>
        <v>0</v>
      </c>
      <c r="B215" s="13">
        <f>'1_Precios'!B215/MAX('1_Precios'!B$2:B215)-1</f>
        <v>0</v>
      </c>
      <c r="C215" s="13">
        <f>'1_Precios'!C215/MAX('1_Precios'!C$2:C215)-1</f>
        <v>0</v>
      </c>
      <c r="D215" s="13">
        <f>'1_Precios'!D215/MAX('1_Precios'!D$2:D215)-1</f>
        <v>0</v>
      </c>
      <c r="E215" s="13">
        <f>'1_Precios'!E215/MAX('1_Precios'!E$2:E215)-1</f>
        <v>0</v>
      </c>
      <c r="F215" s="13">
        <f>'1_Precios'!F215/MAX('1_Precios'!F$2:F215)-1</f>
        <v>0</v>
      </c>
      <c r="G215" s="13">
        <f>'1_Precios'!G215/MAX('1_Precios'!G$2:G215)-1</f>
        <v>0</v>
      </c>
    </row>
    <row r="216" spans="1:7">
      <c r="A216" s="12">
        <f>'1_Precios'!A216</f>
        <v>0</v>
      </c>
      <c r="B216" s="13">
        <f>'1_Precios'!B216/MAX('1_Precios'!B$2:B216)-1</f>
        <v>0</v>
      </c>
      <c r="C216" s="13">
        <f>'1_Precios'!C216/MAX('1_Precios'!C$2:C216)-1</f>
        <v>0</v>
      </c>
      <c r="D216" s="13">
        <f>'1_Precios'!D216/MAX('1_Precios'!D$2:D216)-1</f>
        <v>0</v>
      </c>
      <c r="E216" s="13">
        <f>'1_Precios'!E216/MAX('1_Precios'!E$2:E216)-1</f>
        <v>0</v>
      </c>
      <c r="F216" s="13">
        <f>'1_Precios'!F216/MAX('1_Precios'!F$2:F216)-1</f>
        <v>0</v>
      </c>
      <c r="G216" s="13">
        <f>'1_Precios'!G216/MAX('1_Precios'!G$2:G216)-1</f>
        <v>0</v>
      </c>
    </row>
    <row r="217" spans="1:7">
      <c r="A217" s="12">
        <f>'1_Precios'!A217</f>
        <v>0</v>
      </c>
      <c r="B217" s="13">
        <f>'1_Precios'!B217/MAX('1_Precios'!B$2:B217)-1</f>
        <v>0</v>
      </c>
      <c r="C217" s="13">
        <f>'1_Precios'!C217/MAX('1_Precios'!C$2:C217)-1</f>
        <v>0</v>
      </c>
      <c r="D217" s="13">
        <f>'1_Precios'!D217/MAX('1_Precios'!D$2:D217)-1</f>
        <v>0</v>
      </c>
      <c r="E217" s="13">
        <f>'1_Precios'!E217/MAX('1_Precios'!E$2:E217)-1</f>
        <v>0</v>
      </c>
      <c r="F217" s="13">
        <f>'1_Precios'!F217/MAX('1_Precios'!F$2:F217)-1</f>
        <v>0</v>
      </c>
      <c r="G217" s="13">
        <f>'1_Precios'!G217/MAX('1_Precios'!G$2:G217)-1</f>
        <v>0</v>
      </c>
    </row>
    <row r="218" spans="1:7">
      <c r="A218" s="12">
        <f>'1_Precios'!A218</f>
        <v>0</v>
      </c>
      <c r="B218" s="13">
        <f>'1_Precios'!B218/MAX('1_Precios'!B$2:B218)-1</f>
        <v>0</v>
      </c>
      <c r="C218" s="13">
        <f>'1_Precios'!C218/MAX('1_Precios'!C$2:C218)-1</f>
        <v>0</v>
      </c>
      <c r="D218" s="13">
        <f>'1_Precios'!D218/MAX('1_Precios'!D$2:D218)-1</f>
        <v>0</v>
      </c>
      <c r="E218" s="13">
        <f>'1_Precios'!E218/MAX('1_Precios'!E$2:E218)-1</f>
        <v>0</v>
      </c>
      <c r="F218" s="13">
        <f>'1_Precios'!F218/MAX('1_Precios'!F$2:F218)-1</f>
        <v>0</v>
      </c>
      <c r="G218" s="13">
        <f>'1_Precios'!G218/MAX('1_Precios'!G$2:G218)-1</f>
        <v>0</v>
      </c>
    </row>
    <row r="219" spans="1:7">
      <c r="A219" s="12">
        <f>'1_Precios'!A219</f>
        <v>0</v>
      </c>
      <c r="B219" s="13">
        <f>'1_Precios'!B219/MAX('1_Precios'!B$2:B219)-1</f>
        <v>0</v>
      </c>
      <c r="C219" s="13">
        <f>'1_Precios'!C219/MAX('1_Precios'!C$2:C219)-1</f>
        <v>0</v>
      </c>
      <c r="D219" s="13">
        <f>'1_Precios'!D219/MAX('1_Precios'!D$2:D219)-1</f>
        <v>0</v>
      </c>
      <c r="E219" s="13">
        <f>'1_Precios'!E219/MAX('1_Precios'!E$2:E219)-1</f>
        <v>0</v>
      </c>
      <c r="F219" s="13">
        <f>'1_Precios'!F219/MAX('1_Precios'!F$2:F219)-1</f>
        <v>0</v>
      </c>
      <c r="G219" s="13">
        <f>'1_Precios'!G219/MAX('1_Precios'!G$2:G219)-1</f>
        <v>0</v>
      </c>
    </row>
    <row r="220" spans="1:7">
      <c r="A220" s="12">
        <f>'1_Precios'!A220</f>
        <v>0</v>
      </c>
      <c r="B220" s="13">
        <f>'1_Precios'!B220/MAX('1_Precios'!B$2:B220)-1</f>
        <v>0</v>
      </c>
      <c r="C220" s="13">
        <f>'1_Precios'!C220/MAX('1_Precios'!C$2:C220)-1</f>
        <v>0</v>
      </c>
      <c r="D220" s="13">
        <f>'1_Precios'!D220/MAX('1_Precios'!D$2:D220)-1</f>
        <v>0</v>
      </c>
      <c r="E220" s="13">
        <f>'1_Precios'!E220/MAX('1_Precios'!E$2:E220)-1</f>
        <v>0</v>
      </c>
      <c r="F220" s="13">
        <f>'1_Precios'!F220/MAX('1_Precios'!F$2:F220)-1</f>
        <v>0</v>
      </c>
      <c r="G220" s="13">
        <f>'1_Precios'!G220/MAX('1_Precios'!G$2:G220)-1</f>
        <v>0</v>
      </c>
    </row>
    <row r="221" spans="1:7">
      <c r="A221" s="12">
        <f>'1_Precios'!A221</f>
        <v>0</v>
      </c>
      <c r="B221" s="13">
        <f>'1_Precios'!B221/MAX('1_Precios'!B$2:B221)-1</f>
        <v>0</v>
      </c>
      <c r="C221" s="13">
        <f>'1_Precios'!C221/MAX('1_Precios'!C$2:C221)-1</f>
        <v>0</v>
      </c>
      <c r="D221" s="13">
        <f>'1_Precios'!D221/MAX('1_Precios'!D$2:D221)-1</f>
        <v>0</v>
      </c>
      <c r="E221" s="13">
        <f>'1_Precios'!E221/MAX('1_Precios'!E$2:E221)-1</f>
        <v>0</v>
      </c>
      <c r="F221" s="13">
        <f>'1_Precios'!F221/MAX('1_Precios'!F$2:F221)-1</f>
        <v>0</v>
      </c>
      <c r="G221" s="13">
        <f>'1_Precios'!G221/MAX('1_Precios'!G$2:G221)-1</f>
        <v>0</v>
      </c>
    </row>
    <row r="222" spans="1:7">
      <c r="A222" s="12">
        <f>'1_Precios'!A222</f>
        <v>0</v>
      </c>
      <c r="B222" s="13">
        <f>'1_Precios'!B222/MAX('1_Precios'!B$2:B222)-1</f>
        <v>0</v>
      </c>
      <c r="C222" s="13">
        <f>'1_Precios'!C222/MAX('1_Precios'!C$2:C222)-1</f>
        <v>0</v>
      </c>
      <c r="D222" s="13">
        <f>'1_Precios'!D222/MAX('1_Precios'!D$2:D222)-1</f>
        <v>0</v>
      </c>
      <c r="E222" s="13">
        <f>'1_Precios'!E222/MAX('1_Precios'!E$2:E222)-1</f>
        <v>0</v>
      </c>
      <c r="F222" s="13">
        <f>'1_Precios'!F222/MAX('1_Precios'!F$2:F222)-1</f>
        <v>0</v>
      </c>
      <c r="G222" s="13">
        <f>'1_Precios'!G222/MAX('1_Precios'!G$2:G222)-1</f>
        <v>0</v>
      </c>
    </row>
    <row r="223" spans="1:7">
      <c r="A223" s="12">
        <f>'1_Precios'!A223</f>
        <v>0</v>
      </c>
      <c r="B223" s="13">
        <f>'1_Precios'!B223/MAX('1_Precios'!B$2:B223)-1</f>
        <v>0</v>
      </c>
      <c r="C223" s="13">
        <f>'1_Precios'!C223/MAX('1_Precios'!C$2:C223)-1</f>
        <v>0</v>
      </c>
      <c r="D223" s="13">
        <f>'1_Precios'!D223/MAX('1_Precios'!D$2:D223)-1</f>
        <v>0</v>
      </c>
      <c r="E223" s="13">
        <f>'1_Precios'!E223/MAX('1_Precios'!E$2:E223)-1</f>
        <v>0</v>
      </c>
      <c r="F223" s="13">
        <f>'1_Precios'!F223/MAX('1_Precios'!F$2:F223)-1</f>
        <v>0</v>
      </c>
      <c r="G223" s="13">
        <f>'1_Precios'!G223/MAX('1_Precios'!G$2:G223)-1</f>
        <v>0</v>
      </c>
    </row>
    <row r="224" spans="1:7">
      <c r="A224" s="12">
        <f>'1_Precios'!A224</f>
        <v>0</v>
      </c>
      <c r="B224" s="13">
        <f>'1_Precios'!B224/MAX('1_Precios'!B$2:B224)-1</f>
        <v>0</v>
      </c>
      <c r="C224" s="13">
        <f>'1_Precios'!C224/MAX('1_Precios'!C$2:C224)-1</f>
        <v>0</v>
      </c>
      <c r="D224" s="13">
        <f>'1_Precios'!D224/MAX('1_Precios'!D$2:D224)-1</f>
        <v>0</v>
      </c>
      <c r="E224" s="13">
        <f>'1_Precios'!E224/MAX('1_Precios'!E$2:E224)-1</f>
        <v>0</v>
      </c>
      <c r="F224" s="13">
        <f>'1_Precios'!F224/MAX('1_Precios'!F$2:F224)-1</f>
        <v>0</v>
      </c>
      <c r="G224" s="13">
        <f>'1_Precios'!G224/MAX('1_Precios'!G$2:G224)-1</f>
        <v>0</v>
      </c>
    </row>
    <row r="225" spans="1:7">
      <c r="A225" s="12">
        <f>'1_Precios'!A225</f>
        <v>0</v>
      </c>
      <c r="B225" s="13">
        <f>'1_Precios'!B225/MAX('1_Precios'!B$2:B225)-1</f>
        <v>0</v>
      </c>
      <c r="C225" s="13">
        <f>'1_Precios'!C225/MAX('1_Precios'!C$2:C225)-1</f>
        <v>0</v>
      </c>
      <c r="D225" s="13">
        <f>'1_Precios'!D225/MAX('1_Precios'!D$2:D225)-1</f>
        <v>0</v>
      </c>
      <c r="E225" s="13">
        <f>'1_Precios'!E225/MAX('1_Precios'!E$2:E225)-1</f>
        <v>0</v>
      </c>
      <c r="F225" s="13">
        <f>'1_Precios'!F225/MAX('1_Precios'!F$2:F225)-1</f>
        <v>0</v>
      </c>
      <c r="G225" s="13">
        <f>'1_Precios'!G225/MAX('1_Precios'!G$2:G225)-1</f>
        <v>0</v>
      </c>
    </row>
    <row r="226" spans="1:7">
      <c r="A226" s="12">
        <f>'1_Precios'!A226</f>
        <v>0</v>
      </c>
      <c r="B226" s="13">
        <f>'1_Precios'!B226/MAX('1_Precios'!B$2:B226)-1</f>
        <v>0</v>
      </c>
      <c r="C226" s="13">
        <f>'1_Precios'!C226/MAX('1_Precios'!C$2:C226)-1</f>
        <v>0</v>
      </c>
      <c r="D226" s="13">
        <f>'1_Precios'!D226/MAX('1_Precios'!D$2:D226)-1</f>
        <v>0</v>
      </c>
      <c r="E226" s="13">
        <f>'1_Precios'!E226/MAX('1_Precios'!E$2:E226)-1</f>
        <v>0</v>
      </c>
      <c r="F226" s="13">
        <f>'1_Precios'!F226/MAX('1_Precios'!F$2:F226)-1</f>
        <v>0</v>
      </c>
      <c r="G226" s="13">
        <f>'1_Precios'!G226/MAX('1_Precios'!G$2:G226)-1</f>
        <v>0</v>
      </c>
    </row>
    <row r="227" spans="1:7">
      <c r="A227" s="12">
        <f>'1_Precios'!A227</f>
        <v>0</v>
      </c>
      <c r="B227" s="13">
        <f>'1_Precios'!B227/MAX('1_Precios'!B$2:B227)-1</f>
        <v>0</v>
      </c>
      <c r="C227" s="13">
        <f>'1_Precios'!C227/MAX('1_Precios'!C$2:C227)-1</f>
        <v>0</v>
      </c>
      <c r="D227" s="13">
        <f>'1_Precios'!D227/MAX('1_Precios'!D$2:D227)-1</f>
        <v>0</v>
      </c>
      <c r="E227" s="13">
        <f>'1_Precios'!E227/MAX('1_Precios'!E$2:E227)-1</f>
        <v>0</v>
      </c>
      <c r="F227" s="13">
        <f>'1_Precios'!F227/MAX('1_Precios'!F$2:F227)-1</f>
        <v>0</v>
      </c>
      <c r="G227" s="13">
        <f>'1_Precios'!G227/MAX('1_Precios'!G$2:G227)-1</f>
        <v>0</v>
      </c>
    </row>
    <row r="228" spans="1:7">
      <c r="A228" s="12">
        <f>'1_Precios'!A228</f>
        <v>0</v>
      </c>
      <c r="B228" s="13">
        <f>'1_Precios'!B228/MAX('1_Precios'!B$2:B228)-1</f>
        <v>0</v>
      </c>
      <c r="C228" s="13">
        <f>'1_Precios'!C228/MAX('1_Precios'!C$2:C228)-1</f>
        <v>0</v>
      </c>
      <c r="D228" s="13">
        <f>'1_Precios'!D228/MAX('1_Precios'!D$2:D228)-1</f>
        <v>0</v>
      </c>
      <c r="E228" s="13">
        <f>'1_Precios'!E228/MAX('1_Precios'!E$2:E228)-1</f>
        <v>0</v>
      </c>
      <c r="F228" s="13">
        <f>'1_Precios'!F228/MAX('1_Precios'!F$2:F228)-1</f>
        <v>0</v>
      </c>
      <c r="G228" s="13">
        <f>'1_Precios'!G228/MAX('1_Precios'!G$2:G228)-1</f>
        <v>0</v>
      </c>
    </row>
    <row r="229" spans="1:7">
      <c r="A229" s="12">
        <f>'1_Precios'!A229</f>
        <v>0</v>
      </c>
      <c r="B229" s="13">
        <f>'1_Precios'!B229/MAX('1_Precios'!B$2:B229)-1</f>
        <v>0</v>
      </c>
      <c r="C229" s="13">
        <f>'1_Precios'!C229/MAX('1_Precios'!C$2:C229)-1</f>
        <v>0</v>
      </c>
      <c r="D229" s="13">
        <f>'1_Precios'!D229/MAX('1_Precios'!D$2:D229)-1</f>
        <v>0</v>
      </c>
      <c r="E229" s="13">
        <f>'1_Precios'!E229/MAX('1_Precios'!E$2:E229)-1</f>
        <v>0</v>
      </c>
      <c r="F229" s="13">
        <f>'1_Precios'!F229/MAX('1_Precios'!F$2:F229)-1</f>
        <v>0</v>
      </c>
      <c r="G229" s="13">
        <f>'1_Precios'!G229/MAX('1_Precios'!G$2:G229)-1</f>
        <v>0</v>
      </c>
    </row>
    <row r="230" spans="1:7">
      <c r="A230" s="12">
        <f>'1_Precios'!A230</f>
        <v>0</v>
      </c>
      <c r="B230" s="13">
        <f>'1_Precios'!B230/MAX('1_Precios'!B$2:B230)-1</f>
        <v>0</v>
      </c>
      <c r="C230" s="13">
        <f>'1_Precios'!C230/MAX('1_Precios'!C$2:C230)-1</f>
        <v>0</v>
      </c>
      <c r="D230" s="13">
        <f>'1_Precios'!D230/MAX('1_Precios'!D$2:D230)-1</f>
        <v>0</v>
      </c>
      <c r="E230" s="13">
        <f>'1_Precios'!E230/MAX('1_Precios'!E$2:E230)-1</f>
        <v>0</v>
      </c>
      <c r="F230" s="13">
        <f>'1_Precios'!F230/MAX('1_Precios'!F$2:F230)-1</f>
        <v>0</v>
      </c>
      <c r="G230" s="13">
        <f>'1_Precios'!G230/MAX('1_Precios'!G$2:G230)-1</f>
        <v>0</v>
      </c>
    </row>
    <row r="231" spans="1:7">
      <c r="A231" s="12">
        <f>'1_Precios'!A231</f>
        <v>0</v>
      </c>
      <c r="B231" s="13">
        <f>'1_Precios'!B231/MAX('1_Precios'!B$2:B231)-1</f>
        <v>0</v>
      </c>
      <c r="C231" s="13">
        <f>'1_Precios'!C231/MAX('1_Precios'!C$2:C231)-1</f>
        <v>0</v>
      </c>
      <c r="D231" s="13">
        <f>'1_Precios'!D231/MAX('1_Precios'!D$2:D231)-1</f>
        <v>0</v>
      </c>
      <c r="E231" s="13">
        <f>'1_Precios'!E231/MAX('1_Precios'!E$2:E231)-1</f>
        <v>0</v>
      </c>
      <c r="F231" s="13">
        <f>'1_Precios'!F231/MAX('1_Precios'!F$2:F231)-1</f>
        <v>0</v>
      </c>
      <c r="G231" s="13">
        <f>'1_Precios'!G231/MAX('1_Precios'!G$2:G231)-1</f>
        <v>0</v>
      </c>
    </row>
    <row r="232" spans="1:7">
      <c r="A232" s="12">
        <f>'1_Precios'!A232</f>
        <v>0</v>
      </c>
      <c r="B232" s="13">
        <f>'1_Precios'!B232/MAX('1_Precios'!B$2:B232)-1</f>
        <v>0</v>
      </c>
      <c r="C232" s="13">
        <f>'1_Precios'!C232/MAX('1_Precios'!C$2:C232)-1</f>
        <v>0</v>
      </c>
      <c r="D232" s="13">
        <f>'1_Precios'!D232/MAX('1_Precios'!D$2:D232)-1</f>
        <v>0</v>
      </c>
      <c r="E232" s="13">
        <f>'1_Precios'!E232/MAX('1_Precios'!E$2:E232)-1</f>
        <v>0</v>
      </c>
      <c r="F232" s="13">
        <f>'1_Precios'!F232/MAX('1_Precios'!F$2:F232)-1</f>
        <v>0</v>
      </c>
      <c r="G232" s="13">
        <f>'1_Precios'!G232/MAX('1_Precios'!G$2:G232)-1</f>
        <v>0</v>
      </c>
    </row>
    <row r="233" spans="1:7">
      <c r="A233" s="12">
        <f>'1_Precios'!A233</f>
        <v>0</v>
      </c>
      <c r="B233" s="13">
        <f>'1_Precios'!B233/MAX('1_Precios'!B$2:B233)-1</f>
        <v>0</v>
      </c>
      <c r="C233" s="13">
        <f>'1_Precios'!C233/MAX('1_Precios'!C$2:C233)-1</f>
        <v>0</v>
      </c>
      <c r="D233" s="13">
        <f>'1_Precios'!D233/MAX('1_Precios'!D$2:D233)-1</f>
        <v>0</v>
      </c>
      <c r="E233" s="13">
        <f>'1_Precios'!E233/MAX('1_Precios'!E$2:E233)-1</f>
        <v>0</v>
      </c>
      <c r="F233" s="13">
        <f>'1_Precios'!F233/MAX('1_Precios'!F$2:F233)-1</f>
        <v>0</v>
      </c>
      <c r="G233" s="13">
        <f>'1_Precios'!G233/MAX('1_Precios'!G$2:G233)-1</f>
        <v>0</v>
      </c>
    </row>
    <row r="234" spans="1:7">
      <c r="A234" s="12">
        <f>'1_Precios'!A234</f>
        <v>0</v>
      </c>
      <c r="B234" s="13">
        <f>'1_Precios'!B234/MAX('1_Precios'!B$2:B234)-1</f>
        <v>0</v>
      </c>
      <c r="C234" s="13">
        <f>'1_Precios'!C234/MAX('1_Precios'!C$2:C234)-1</f>
        <v>0</v>
      </c>
      <c r="D234" s="13">
        <f>'1_Precios'!D234/MAX('1_Precios'!D$2:D234)-1</f>
        <v>0</v>
      </c>
      <c r="E234" s="13">
        <f>'1_Precios'!E234/MAX('1_Precios'!E$2:E234)-1</f>
        <v>0</v>
      </c>
      <c r="F234" s="13">
        <f>'1_Precios'!F234/MAX('1_Precios'!F$2:F234)-1</f>
        <v>0</v>
      </c>
      <c r="G234" s="13">
        <f>'1_Precios'!G234/MAX('1_Precios'!G$2:G234)-1</f>
        <v>0</v>
      </c>
    </row>
    <row r="235" spans="1:7">
      <c r="A235" s="12">
        <f>'1_Precios'!A235</f>
        <v>0</v>
      </c>
      <c r="B235" s="13">
        <f>'1_Precios'!B235/MAX('1_Precios'!B$2:B235)-1</f>
        <v>0</v>
      </c>
      <c r="C235" s="13">
        <f>'1_Precios'!C235/MAX('1_Precios'!C$2:C235)-1</f>
        <v>0</v>
      </c>
      <c r="D235" s="13">
        <f>'1_Precios'!D235/MAX('1_Precios'!D$2:D235)-1</f>
        <v>0</v>
      </c>
      <c r="E235" s="13">
        <f>'1_Precios'!E235/MAX('1_Precios'!E$2:E235)-1</f>
        <v>0</v>
      </c>
      <c r="F235" s="13">
        <f>'1_Precios'!F235/MAX('1_Precios'!F$2:F235)-1</f>
        <v>0</v>
      </c>
      <c r="G235" s="13">
        <f>'1_Precios'!G235/MAX('1_Precios'!G$2:G235)-1</f>
        <v>0</v>
      </c>
    </row>
    <row r="236" spans="1:7">
      <c r="A236" s="12">
        <f>'1_Precios'!A236</f>
        <v>0</v>
      </c>
      <c r="B236" s="13">
        <f>'1_Precios'!B236/MAX('1_Precios'!B$2:B236)-1</f>
        <v>0</v>
      </c>
      <c r="C236" s="13">
        <f>'1_Precios'!C236/MAX('1_Precios'!C$2:C236)-1</f>
        <v>0</v>
      </c>
      <c r="D236" s="13">
        <f>'1_Precios'!D236/MAX('1_Precios'!D$2:D236)-1</f>
        <v>0</v>
      </c>
      <c r="E236" s="13">
        <f>'1_Precios'!E236/MAX('1_Precios'!E$2:E236)-1</f>
        <v>0</v>
      </c>
      <c r="F236" s="13">
        <f>'1_Precios'!F236/MAX('1_Precios'!F$2:F236)-1</f>
        <v>0</v>
      </c>
      <c r="G236" s="13">
        <f>'1_Precios'!G236/MAX('1_Precios'!G$2:G236)-1</f>
        <v>0</v>
      </c>
    </row>
    <row r="237" spans="1:7">
      <c r="A237" s="12">
        <f>'1_Precios'!A237</f>
        <v>0</v>
      </c>
      <c r="B237" s="13">
        <f>'1_Precios'!B237/MAX('1_Precios'!B$2:B237)-1</f>
        <v>0</v>
      </c>
      <c r="C237" s="13">
        <f>'1_Precios'!C237/MAX('1_Precios'!C$2:C237)-1</f>
        <v>0</v>
      </c>
      <c r="D237" s="13">
        <f>'1_Precios'!D237/MAX('1_Precios'!D$2:D237)-1</f>
        <v>0</v>
      </c>
      <c r="E237" s="13">
        <f>'1_Precios'!E237/MAX('1_Precios'!E$2:E237)-1</f>
        <v>0</v>
      </c>
      <c r="F237" s="13">
        <f>'1_Precios'!F237/MAX('1_Precios'!F$2:F237)-1</f>
        <v>0</v>
      </c>
      <c r="G237" s="13">
        <f>'1_Precios'!G237/MAX('1_Precios'!G$2:G237)-1</f>
        <v>0</v>
      </c>
    </row>
    <row r="238" spans="1:7">
      <c r="A238" s="12">
        <f>'1_Precios'!A238</f>
        <v>0</v>
      </c>
      <c r="B238" s="13">
        <f>'1_Precios'!B238/MAX('1_Precios'!B$2:B238)-1</f>
        <v>0</v>
      </c>
      <c r="C238" s="13">
        <f>'1_Precios'!C238/MAX('1_Precios'!C$2:C238)-1</f>
        <v>0</v>
      </c>
      <c r="D238" s="13">
        <f>'1_Precios'!D238/MAX('1_Precios'!D$2:D238)-1</f>
        <v>0</v>
      </c>
      <c r="E238" s="13">
        <f>'1_Precios'!E238/MAX('1_Precios'!E$2:E238)-1</f>
        <v>0</v>
      </c>
      <c r="F238" s="13">
        <f>'1_Precios'!F238/MAX('1_Precios'!F$2:F238)-1</f>
        <v>0</v>
      </c>
      <c r="G238" s="13">
        <f>'1_Precios'!G238/MAX('1_Precios'!G$2:G238)-1</f>
        <v>0</v>
      </c>
    </row>
    <row r="239" spans="1:7">
      <c r="A239" s="12">
        <f>'1_Precios'!A239</f>
        <v>0</v>
      </c>
      <c r="B239" s="13">
        <f>'1_Precios'!B239/MAX('1_Precios'!B$2:B239)-1</f>
        <v>0</v>
      </c>
      <c r="C239" s="13">
        <f>'1_Precios'!C239/MAX('1_Precios'!C$2:C239)-1</f>
        <v>0</v>
      </c>
      <c r="D239" s="13">
        <f>'1_Precios'!D239/MAX('1_Precios'!D$2:D239)-1</f>
        <v>0</v>
      </c>
      <c r="E239" s="13">
        <f>'1_Precios'!E239/MAX('1_Precios'!E$2:E239)-1</f>
        <v>0</v>
      </c>
      <c r="F239" s="13">
        <f>'1_Precios'!F239/MAX('1_Precios'!F$2:F239)-1</f>
        <v>0</v>
      </c>
      <c r="G239" s="13">
        <f>'1_Precios'!G239/MAX('1_Precios'!G$2:G239)-1</f>
        <v>0</v>
      </c>
    </row>
    <row r="240" spans="1:7">
      <c r="A240" s="12">
        <f>'1_Precios'!A240</f>
        <v>0</v>
      </c>
      <c r="B240" s="13">
        <f>'1_Precios'!B240/MAX('1_Precios'!B$2:B240)-1</f>
        <v>0</v>
      </c>
      <c r="C240" s="13">
        <f>'1_Precios'!C240/MAX('1_Precios'!C$2:C240)-1</f>
        <v>0</v>
      </c>
      <c r="D240" s="13">
        <f>'1_Precios'!D240/MAX('1_Precios'!D$2:D240)-1</f>
        <v>0</v>
      </c>
      <c r="E240" s="13">
        <f>'1_Precios'!E240/MAX('1_Precios'!E$2:E240)-1</f>
        <v>0</v>
      </c>
      <c r="F240" s="13">
        <f>'1_Precios'!F240/MAX('1_Precios'!F$2:F240)-1</f>
        <v>0</v>
      </c>
      <c r="G240" s="13">
        <f>'1_Precios'!G240/MAX('1_Precios'!G$2:G240)-1</f>
        <v>0</v>
      </c>
    </row>
    <row r="241" spans="1:7">
      <c r="A241" s="12">
        <f>'1_Precios'!A241</f>
        <v>0</v>
      </c>
      <c r="B241" s="13">
        <f>'1_Precios'!B241/MAX('1_Precios'!B$2:B241)-1</f>
        <v>0</v>
      </c>
      <c r="C241" s="13">
        <f>'1_Precios'!C241/MAX('1_Precios'!C$2:C241)-1</f>
        <v>0</v>
      </c>
      <c r="D241" s="13">
        <f>'1_Precios'!D241/MAX('1_Precios'!D$2:D241)-1</f>
        <v>0</v>
      </c>
      <c r="E241" s="13">
        <f>'1_Precios'!E241/MAX('1_Precios'!E$2:E241)-1</f>
        <v>0</v>
      </c>
      <c r="F241" s="13">
        <f>'1_Precios'!F241/MAX('1_Precios'!F$2:F241)-1</f>
        <v>0</v>
      </c>
      <c r="G241" s="13">
        <f>'1_Precios'!G241/MAX('1_Precios'!G$2:G241)-1</f>
        <v>0</v>
      </c>
    </row>
    <row r="242" spans="1:7">
      <c r="A242" s="12">
        <f>'1_Precios'!A242</f>
        <v>0</v>
      </c>
      <c r="B242" s="13">
        <f>'1_Precios'!B242/MAX('1_Precios'!B$2:B242)-1</f>
        <v>0</v>
      </c>
      <c r="C242" s="13">
        <f>'1_Precios'!C242/MAX('1_Precios'!C$2:C242)-1</f>
        <v>0</v>
      </c>
      <c r="D242" s="13">
        <f>'1_Precios'!D242/MAX('1_Precios'!D$2:D242)-1</f>
        <v>0</v>
      </c>
      <c r="E242" s="13">
        <f>'1_Precios'!E242/MAX('1_Precios'!E$2:E242)-1</f>
        <v>0</v>
      </c>
      <c r="F242" s="13">
        <f>'1_Precios'!F242/MAX('1_Precios'!F$2:F242)-1</f>
        <v>0</v>
      </c>
      <c r="G242" s="13">
        <f>'1_Precios'!G242/MAX('1_Precios'!G$2:G242)-1</f>
        <v>0</v>
      </c>
    </row>
    <row r="243" spans="1:7">
      <c r="A243" s="12">
        <f>'1_Precios'!A243</f>
        <v>0</v>
      </c>
      <c r="B243" s="13">
        <f>'1_Precios'!B243/MAX('1_Precios'!B$2:B243)-1</f>
        <v>0</v>
      </c>
      <c r="C243" s="13">
        <f>'1_Precios'!C243/MAX('1_Precios'!C$2:C243)-1</f>
        <v>0</v>
      </c>
      <c r="D243" s="13">
        <f>'1_Precios'!D243/MAX('1_Precios'!D$2:D243)-1</f>
        <v>0</v>
      </c>
      <c r="E243" s="13">
        <f>'1_Precios'!E243/MAX('1_Precios'!E$2:E243)-1</f>
        <v>0</v>
      </c>
      <c r="F243" s="13">
        <f>'1_Precios'!F243/MAX('1_Precios'!F$2:F243)-1</f>
        <v>0</v>
      </c>
      <c r="G243" s="13">
        <f>'1_Precios'!G243/MAX('1_Precios'!G$2:G243)-1</f>
        <v>0</v>
      </c>
    </row>
    <row r="244" spans="1:7">
      <c r="A244" s="12">
        <f>'1_Precios'!A244</f>
        <v>0</v>
      </c>
      <c r="B244" s="13">
        <f>'1_Precios'!B244/MAX('1_Precios'!B$2:B244)-1</f>
        <v>0</v>
      </c>
      <c r="C244" s="13">
        <f>'1_Precios'!C244/MAX('1_Precios'!C$2:C244)-1</f>
        <v>0</v>
      </c>
      <c r="D244" s="13">
        <f>'1_Precios'!D244/MAX('1_Precios'!D$2:D244)-1</f>
        <v>0</v>
      </c>
      <c r="E244" s="13">
        <f>'1_Precios'!E244/MAX('1_Precios'!E$2:E244)-1</f>
        <v>0</v>
      </c>
      <c r="F244" s="13">
        <f>'1_Precios'!F244/MAX('1_Precios'!F$2:F244)-1</f>
        <v>0</v>
      </c>
      <c r="G244" s="13">
        <f>'1_Precios'!G244/MAX('1_Precios'!G$2:G244)-1</f>
        <v>0</v>
      </c>
    </row>
    <row r="245" spans="1:7">
      <c r="A245" s="12">
        <f>'1_Precios'!A245</f>
        <v>0</v>
      </c>
      <c r="B245" s="13">
        <f>'1_Precios'!B245/MAX('1_Precios'!B$2:B245)-1</f>
        <v>0</v>
      </c>
      <c r="C245" s="13">
        <f>'1_Precios'!C245/MAX('1_Precios'!C$2:C245)-1</f>
        <v>0</v>
      </c>
      <c r="D245" s="13">
        <f>'1_Precios'!D245/MAX('1_Precios'!D$2:D245)-1</f>
        <v>0</v>
      </c>
      <c r="E245" s="13">
        <f>'1_Precios'!E245/MAX('1_Precios'!E$2:E245)-1</f>
        <v>0</v>
      </c>
      <c r="F245" s="13">
        <f>'1_Precios'!F245/MAX('1_Precios'!F$2:F245)-1</f>
        <v>0</v>
      </c>
      <c r="G245" s="13">
        <f>'1_Precios'!G245/MAX('1_Precios'!G$2:G245)-1</f>
        <v>0</v>
      </c>
    </row>
    <row r="246" spans="1:7">
      <c r="A246" s="12">
        <f>'1_Precios'!A246</f>
        <v>0</v>
      </c>
      <c r="B246" s="13">
        <f>'1_Precios'!B246/MAX('1_Precios'!B$2:B246)-1</f>
        <v>0</v>
      </c>
      <c r="C246" s="13">
        <f>'1_Precios'!C246/MAX('1_Precios'!C$2:C246)-1</f>
        <v>0</v>
      </c>
      <c r="D246" s="13">
        <f>'1_Precios'!D246/MAX('1_Precios'!D$2:D246)-1</f>
        <v>0</v>
      </c>
      <c r="E246" s="13">
        <f>'1_Precios'!E246/MAX('1_Precios'!E$2:E246)-1</f>
        <v>0</v>
      </c>
      <c r="F246" s="13">
        <f>'1_Precios'!F246/MAX('1_Precios'!F$2:F246)-1</f>
        <v>0</v>
      </c>
      <c r="G246" s="13">
        <f>'1_Precios'!G246/MAX('1_Precios'!G$2:G246)-1</f>
        <v>0</v>
      </c>
    </row>
    <row r="247" spans="1:7">
      <c r="A247" s="12">
        <f>'1_Precios'!A247</f>
        <v>0</v>
      </c>
      <c r="B247" s="13">
        <f>'1_Precios'!B247/MAX('1_Precios'!B$2:B247)-1</f>
        <v>0</v>
      </c>
      <c r="C247" s="13">
        <f>'1_Precios'!C247/MAX('1_Precios'!C$2:C247)-1</f>
        <v>0</v>
      </c>
      <c r="D247" s="13">
        <f>'1_Precios'!D247/MAX('1_Precios'!D$2:D247)-1</f>
        <v>0</v>
      </c>
      <c r="E247" s="13">
        <f>'1_Precios'!E247/MAX('1_Precios'!E$2:E247)-1</f>
        <v>0</v>
      </c>
      <c r="F247" s="13">
        <f>'1_Precios'!F247/MAX('1_Precios'!F$2:F247)-1</f>
        <v>0</v>
      </c>
      <c r="G247" s="13">
        <f>'1_Precios'!G247/MAX('1_Precios'!G$2:G247)-1</f>
        <v>0</v>
      </c>
    </row>
    <row r="248" spans="1:7">
      <c r="A248" s="12">
        <f>'1_Precios'!A248</f>
        <v>0</v>
      </c>
      <c r="B248" s="13">
        <f>'1_Precios'!B248/MAX('1_Precios'!B$2:B248)-1</f>
        <v>0</v>
      </c>
      <c r="C248" s="13">
        <f>'1_Precios'!C248/MAX('1_Precios'!C$2:C248)-1</f>
        <v>0</v>
      </c>
      <c r="D248" s="13">
        <f>'1_Precios'!D248/MAX('1_Precios'!D$2:D248)-1</f>
        <v>0</v>
      </c>
      <c r="E248" s="13">
        <f>'1_Precios'!E248/MAX('1_Precios'!E$2:E248)-1</f>
        <v>0</v>
      </c>
      <c r="F248" s="13">
        <f>'1_Precios'!F248/MAX('1_Precios'!F$2:F248)-1</f>
        <v>0</v>
      </c>
      <c r="G248" s="13">
        <f>'1_Precios'!G248/MAX('1_Precios'!G$2:G248)-1</f>
        <v>0</v>
      </c>
    </row>
    <row r="249" spans="1:7">
      <c r="A249" s="12">
        <f>'1_Precios'!A249</f>
        <v>0</v>
      </c>
      <c r="B249" s="13">
        <f>'1_Precios'!B249/MAX('1_Precios'!B$2:B249)-1</f>
        <v>0</v>
      </c>
      <c r="C249" s="13">
        <f>'1_Precios'!C249/MAX('1_Precios'!C$2:C249)-1</f>
        <v>0</v>
      </c>
      <c r="D249" s="13">
        <f>'1_Precios'!D249/MAX('1_Precios'!D$2:D249)-1</f>
        <v>0</v>
      </c>
      <c r="E249" s="13">
        <f>'1_Precios'!E249/MAX('1_Precios'!E$2:E249)-1</f>
        <v>0</v>
      </c>
      <c r="F249" s="13">
        <f>'1_Precios'!F249/MAX('1_Precios'!F$2:F249)-1</f>
        <v>0</v>
      </c>
      <c r="G249" s="13">
        <f>'1_Precios'!G249/MAX('1_Precios'!G$2:G249)-1</f>
        <v>0</v>
      </c>
    </row>
    <row r="250" spans="1:7">
      <c r="A250" s="12">
        <f>'1_Precios'!A250</f>
        <v>0</v>
      </c>
      <c r="B250" s="13">
        <f>'1_Precios'!B250/MAX('1_Precios'!B$2:B250)-1</f>
        <v>0</v>
      </c>
      <c r="C250" s="13">
        <f>'1_Precios'!C250/MAX('1_Precios'!C$2:C250)-1</f>
        <v>0</v>
      </c>
      <c r="D250" s="13">
        <f>'1_Precios'!D250/MAX('1_Precios'!D$2:D250)-1</f>
        <v>0</v>
      </c>
      <c r="E250" s="13">
        <f>'1_Precios'!E250/MAX('1_Precios'!E$2:E250)-1</f>
        <v>0</v>
      </c>
      <c r="F250" s="13">
        <f>'1_Precios'!F250/MAX('1_Precios'!F$2:F250)-1</f>
        <v>0</v>
      </c>
      <c r="G250" s="13">
        <f>'1_Precios'!G250/MAX('1_Precios'!G$2:G250)-1</f>
        <v>0</v>
      </c>
    </row>
    <row r="251" spans="1:7">
      <c r="A251" s="12">
        <f>'1_Precios'!A251</f>
        <v>0</v>
      </c>
      <c r="B251" s="13">
        <f>'1_Precios'!B251/MAX('1_Precios'!B$2:B251)-1</f>
        <v>0</v>
      </c>
      <c r="C251" s="13">
        <f>'1_Precios'!C251/MAX('1_Precios'!C$2:C251)-1</f>
        <v>0</v>
      </c>
      <c r="D251" s="13">
        <f>'1_Precios'!D251/MAX('1_Precios'!D$2:D251)-1</f>
        <v>0</v>
      </c>
      <c r="E251" s="13">
        <f>'1_Precios'!E251/MAX('1_Precios'!E$2:E251)-1</f>
        <v>0</v>
      </c>
      <c r="F251" s="13">
        <f>'1_Precios'!F251/MAX('1_Precios'!F$2:F251)-1</f>
        <v>0</v>
      </c>
      <c r="G251" s="13">
        <f>'1_Precios'!G251/MAX('1_Precios'!G$2:G251)-1</f>
        <v>0</v>
      </c>
    </row>
    <row r="252" spans="1:7">
      <c r="A252" s="12">
        <f>'1_Precios'!A252</f>
        <v>0</v>
      </c>
      <c r="B252" s="13">
        <f>'1_Precios'!B252/MAX('1_Precios'!B$2:B252)-1</f>
        <v>0</v>
      </c>
      <c r="C252" s="13">
        <f>'1_Precios'!C252/MAX('1_Precios'!C$2:C252)-1</f>
        <v>0</v>
      </c>
      <c r="D252" s="13">
        <f>'1_Precios'!D252/MAX('1_Precios'!D$2:D252)-1</f>
        <v>0</v>
      </c>
      <c r="E252" s="13">
        <f>'1_Precios'!E252/MAX('1_Precios'!E$2:E252)-1</f>
        <v>0</v>
      </c>
      <c r="F252" s="13">
        <f>'1_Precios'!F252/MAX('1_Precios'!F$2:F252)-1</f>
        <v>0</v>
      </c>
      <c r="G252" s="13">
        <f>'1_Precios'!G252/MAX('1_Precios'!G$2:G252)-1</f>
        <v>0</v>
      </c>
    </row>
    <row r="253" spans="1:7">
      <c r="A253" s="12">
        <f>'1_Precios'!A253</f>
        <v>0</v>
      </c>
      <c r="B253" s="13">
        <f>'1_Precios'!B253/MAX('1_Precios'!B$2:B253)-1</f>
        <v>0</v>
      </c>
      <c r="C253" s="13">
        <f>'1_Precios'!C253/MAX('1_Precios'!C$2:C253)-1</f>
        <v>0</v>
      </c>
      <c r="D253" s="13">
        <f>'1_Precios'!D253/MAX('1_Precios'!D$2:D253)-1</f>
        <v>0</v>
      </c>
      <c r="E253" s="13">
        <f>'1_Precios'!E253/MAX('1_Precios'!E$2:E253)-1</f>
        <v>0</v>
      </c>
      <c r="F253" s="13">
        <f>'1_Precios'!F253/MAX('1_Precios'!F$2:F253)-1</f>
        <v>0</v>
      </c>
      <c r="G253" s="13">
        <f>'1_Precios'!G253/MAX('1_Precios'!G$2:G253)-1</f>
        <v>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110"/>
  <sheetViews>
    <sheetView workbookViewId="0">
      <pane ySplit="10" topLeftCell="A11" activePane="bottomLeft" state="frozen"/>
      <selection pane="bottomLeft"/>
    </sheetView>
  </sheetViews>
  <sheetFormatPr defaultRowHeight="15"/>
  <cols>
    <col min="1" max="2" width="12.7109375" customWidth="1"/>
    <col min="3" max="3" width="9.7109375" customWidth="1"/>
    <col min="4" max="4" width="10.7109375" customWidth="1"/>
    <col min="5" max="5" width="11.7109375" customWidth="1"/>
    <col min="6" max="8" width="14.7109375" customWidth="1"/>
    <col min="9" max="9" width="10.7109375" customWidth="1"/>
    <col min="10" max="10" width="40.7109375" customWidth="1"/>
    <col min="11" max="12" width="11.7109375" customWidth="1"/>
    <col min="14" max="14" width="30.7109375" customWidth="1"/>
    <col min="15" max="15" width="14.7109375" customWidth="1"/>
    <col min="16" max="22" width="13.7109375" customWidth="1"/>
  </cols>
  <sheetData>
    <row r="1" spans="1:22">
      <c r="A1" s="1" t="s">
        <v>161</v>
      </c>
    </row>
    <row r="2" spans="1:22">
      <c r="A2" s="2" t="s">
        <v>162</v>
      </c>
    </row>
    <row r="4" spans="1:22">
      <c r="A4" s="14" t="s">
        <v>163</v>
      </c>
      <c r="C4" s="17">
        <v>20000000</v>
      </c>
      <c r="F4" s="14" t="s">
        <v>168</v>
      </c>
      <c r="H4" s="11">
        <v>10000</v>
      </c>
      <c r="N4" s="7" t="s">
        <v>186</v>
      </c>
      <c r="O4" s="7"/>
    </row>
    <row r="5" spans="1:22">
      <c r="A5" s="14" t="s">
        <v>164</v>
      </c>
      <c r="C5" s="15">
        <v>0.005</v>
      </c>
      <c r="D5" s="16" t="s">
        <v>165</v>
      </c>
      <c r="F5" s="14" t="s">
        <v>169</v>
      </c>
      <c r="H5" s="11">
        <v>10250</v>
      </c>
      <c r="N5" s="14" t="s">
        <v>187</v>
      </c>
      <c r="O5" s="27">
        <f>$C$4+SUM(H11:H110)</f>
        <v>0</v>
      </c>
      <c r="P5" s="7" t="s">
        <v>195</v>
      </c>
    </row>
    <row r="6" spans="1:22">
      <c r="A6" s="14" t="s">
        <v>166</v>
      </c>
      <c r="C6" s="15">
        <v>0.35</v>
      </c>
      <c r="D6" s="16" t="s">
        <v>167</v>
      </c>
      <c r="N6" s="14" t="s">
        <v>188</v>
      </c>
      <c r="O6" s="27">
        <f>SUM(T13:T27)</f>
        <v>0</v>
      </c>
      <c r="P6" s="6">
        <f>IF(O5&lt;0,"CAJA NEGATIVA",IF(MAX(V13:V27)&gt;$C$6,"CONCENTRACION &gt; limite","OK"))</f>
        <v>0</v>
      </c>
    </row>
    <row r="7" spans="1:22">
      <c r="N7" s="14" t="s">
        <v>189</v>
      </c>
      <c r="O7" s="27">
        <f>O5+O6</f>
        <v>0</v>
      </c>
    </row>
    <row r="8" spans="1:22">
      <c r="N8" s="14" t="s">
        <v>190</v>
      </c>
      <c r="O8" s="18">
        <f>O7/$C$4-1</f>
        <v>0</v>
      </c>
    </row>
    <row r="9" spans="1:22">
      <c r="N9" s="14" t="s">
        <v>191</v>
      </c>
      <c r="O9" s="13">
        <f>$H$5/$H$4-1</f>
        <v>0</v>
      </c>
    </row>
    <row r="10" spans="1:22">
      <c r="A10" s="7" t="s">
        <v>44</v>
      </c>
      <c r="B10" s="7" t="s">
        <v>170</v>
      </c>
      <c r="C10" s="7" t="s">
        <v>171</v>
      </c>
      <c r="D10" s="7" t="s">
        <v>172</v>
      </c>
      <c r="E10" s="7" t="s">
        <v>144</v>
      </c>
      <c r="F10" s="7" t="s">
        <v>173</v>
      </c>
      <c r="G10" s="7" t="s">
        <v>174</v>
      </c>
      <c r="H10" s="7" t="s">
        <v>175</v>
      </c>
      <c r="I10" s="7" t="s">
        <v>176</v>
      </c>
      <c r="J10" s="7" t="s">
        <v>177</v>
      </c>
      <c r="K10" s="7" t="s">
        <v>178</v>
      </c>
      <c r="L10" s="7" t="s">
        <v>179</v>
      </c>
      <c r="N10" s="14" t="s">
        <v>192</v>
      </c>
      <c r="O10" s="18">
        <f>O8-O9</f>
        <v>0</v>
      </c>
    </row>
    <row r="11" spans="1:22">
      <c r="A11" s="10">
        <v>46309</v>
      </c>
      <c r="B11" s="4" t="s">
        <v>45</v>
      </c>
      <c r="C11" s="4" t="s">
        <v>180</v>
      </c>
      <c r="D11" s="17">
        <v>600</v>
      </c>
      <c r="E11" s="11">
        <v>5400</v>
      </c>
      <c r="F11" s="28">
        <f>IF(OR(D11="",E11=""),"",D11*E11)</f>
        <v>0</v>
      </c>
      <c r="G11" s="28">
        <f>IF(F11="","",F11*$C$5)</f>
        <v>0</v>
      </c>
      <c r="H11" s="28">
        <f>IF(F11="","",IF(C11="Compra",-(F11+G11),F11-G11))</f>
        <v>0</v>
      </c>
      <c r="I11" s="28">
        <f>IF(D11="","",IF(C11="Compra",D11,-D11))</f>
        <v>0</v>
      </c>
      <c r="J11" s="29" t="s">
        <v>181</v>
      </c>
      <c r="K11" s="11">
        <v>4950</v>
      </c>
      <c r="L11" s="11">
        <v>6200</v>
      </c>
      <c r="N11" s="14" t="s">
        <v>193</v>
      </c>
      <c r="O11" s="28">
        <f>SUM(G11:G110)</f>
        <v>0</v>
      </c>
    </row>
    <row r="12" spans="1:22">
      <c r="A12" s="10">
        <v>46309</v>
      </c>
      <c r="B12" s="4" t="s">
        <v>47</v>
      </c>
      <c r="C12" s="4" t="s">
        <v>180</v>
      </c>
      <c r="D12" s="17">
        <v>110</v>
      </c>
      <c r="E12" s="11">
        <v>43000</v>
      </c>
      <c r="F12" s="28">
        <f>IF(OR(D12="",E12=""),"",D12*E12)</f>
        <v>0</v>
      </c>
      <c r="G12" s="28">
        <f>IF(F12="","",F12*$C$5)</f>
        <v>0</v>
      </c>
      <c r="H12" s="28">
        <f>IF(F12="","",IF(C12="Compra",-(F12+G12),F12-G12))</f>
        <v>0</v>
      </c>
      <c r="I12" s="28">
        <f>IF(D12="","",IF(C12="Compra",D12,-D12))</f>
        <v>0</v>
      </c>
      <c r="J12" s="29" t="s">
        <v>182</v>
      </c>
      <c r="K12" s="11">
        <v>39500</v>
      </c>
      <c r="L12" s="11">
        <v>50000</v>
      </c>
      <c r="N12" s="14" t="s">
        <v>194</v>
      </c>
      <c r="O12" s="13">
        <f>O11/$C$4</f>
        <v>0</v>
      </c>
      <c r="P12" s="7" t="s">
        <v>170</v>
      </c>
      <c r="Q12" s="7" t="s">
        <v>172</v>
      </c>
      <c r="R12" s="7" t="s">
        <v>196</v>
      </c>
      <c r="S12" s="7" t="s">
        <v>197</v>
      </c>
      <c r="T12" s="7" t="s">
        <v>198</v>
      </c>
      <c r="U12" s="7" t="s">
        <v>199</v>
      </c>
      <c r="V12" s="7" t="s">
        <v>200</v>
      </c>
    </row>
    <row r="13" spans="1:22">
      <c r="A13" s="10">
        <v>46310</v>
      </c>
      <c r="B13" s="4" t="s">
        <v>48</v>
      </c>
      <c r="C13" s="4" t="s">
        <v>180</v>
      </c>
      <c r="D13" s="17">
        <v>25000</v>
      </c>
      <c r="E13" s="11">
        <v>98</v>
      </c>
      <c r="F13" s="28">
        <f>IF(OR(D13="",E13=""),"",D13*E13)</f>
        <v>0</v>
      </c>
      <c r="G13" s="28">
        <f>IF(F13="","",F13*$C$5)</f>
        <v>0</v>
      </c>
      <c r="H13" s="28">
        <f>IF(F13="","",IF(C13="Compra",-(F13+G13),F13-G13))</f>
        <v>0</v>
      </c>
      <c r="I13" s="28">
        <f>IF(D13="","",IF(C13="Compra",D13,-D13))</f>
        <v>0</v>
      </c>
      <c r="J13" s="29" t="s">
        <v>183</v>
      </c>
      <c r="K13" s="11">
        <v>90</v>
      </c>
      <c r="L13" s="11">
        <v>110</v>
      </c>
      <c r="P13" s="4" t="s">
        <v>45</v>
      </c>
      <c r="Q13" s="28">
        <f>IF(P13="","",SUMIF($B$11:$B$110,P13,$I$11:$I$110))</f>
        <v>0</v>
      </c>
      <c r="R13" s="24">
        <f>IF(P13="","",IFERROR(SUMIFS($F$11:$F$110,$B$11:$B$110,P13,$C$11:$C$110,"Compra")/SUMIFS($D$11:$D$110,$B$11:$B$110,P13,$C$11:$C$110,"Compra"),0))</f>
        <v>0</v>
      </c>
      <c r="S13" s="11">
        <v>5550</v>
      </c>
      <c r="T13" s="28">
        <f>IF(OR(P13="",S13=""),"",Q13*S13)</f>
        <v>0</v>
      </c>
      <c r="U13" s="28">
        <f>IF(T13="","",T13-Q13*R13)</f>
        <v>0</v>
      </c>
      <c r="V13" s="13">
        <f>IF(T13="","",T13/$O$7)</f>
        <v>0</v>
      </c>
    </row>
    <row r="14" spans="1:22">
      <c r="A14" s="10">
        <v>46323</v>
      </c>
      <c r="B14" s="4" t="s">
        <v>47</v>
      </c>
      <c r="C14" s="4" t="s">
        <v>184</v>
      </c>
      <c r="D14" s="17">
        <v>50</v>
      </c>
      <c r="E14" s="11">
        <v>47200</v>
      </c>
      <c r="F14" s="28">
        <f>IF(OR(D14="",E14=""),"",D14*E14)</f>
        <v>0</v>
      </c>
      <c r="G14" s="28">
        <f>IF(F14="","",F14*$C$5)</f>
        <v>0</v>
      </c>
      <c r="H14" s="28">
        <f>IF(F14="","",IF(C14="Compra",-(F14+G14),F14-G14))</f>
        <v>0</v>
      </c>
      <c r="I14" s="28">
        <f>IF(D14="","",IF(C14="Compra",D14,-D14))</f>
        <v>0</v>
      </c>
      <c r="J14" s="29" t="s">
        <v>185</v>
      </c>
      <c r="K14" s="11"/>
      <c r="L14" s="11"/>
      <c r="P14" s="4" t="s">
        <v>47</v>
      </c>
      <c r="Q14" s="28">
        <f>IF(P14="","",SUMIF($B$11:$B$110,P14,$I$11:$I$110))</f>
        <v>0</v>
      </c>
      <c r="R14" s="24">
        <f>IF(P14="","",IFERROR(SUMIFS($F$11:$F$110,$B$11:$B$110,P14,$C$11:$C$110,"Compra")/SUMIFS($D$11:$D$110,$B$11:$B$110,P14,$C$11:$C$110,"Compra"),0))</f>
        <v>0</v>
      </c>
      <c r="S14" s="11">
        <v>46100</v>
      </c>
      <c r="T14" s="28">
        <f>IF(OR(P14="",S14=""),"",Q14*S14)</f>
        <v>0</v>
      </c>
      <c r="U14" s="28">
        <f>IF(T14="","",T14-Q14*R14)</f>
        <v>0</v>
      </c>
      <c r="V14" s="13">
        <f>IF(T14="","",T14/$O$7)</f>
        <v>0</v>
      </c>
    </row>
    <row r="15" spans="1:22">
      <c r="A15" s="10"/>
      <c r="B15" s="4"/>
      <c r="C15" s="4"/>
      <c r="D15" s="17"/>
      <c r="E15" s="11"/>
      <c r="F15" s="28">
        <f>IF(OR(D15="",E15=""),"",D15*E15)</f>
        <v>0</v>
      </c>
      <c r="G15" s="28">
        <f>IF(F15="","",F15*$C$5)</f>
        <v>0</v>
      </c>
      <c r="H15" s="28">
        <f>IF(F15="","",IF(C15="Compra",-(F15+G15),F15-G15))</f>
        <v>0</v>
      </c>
      <c r="I15" s="28">
        <f>IF(D15="","",IF(C15="Compra",D15,-D15))</f>
        <v>0</v>
      </c>
      <c r="J15" s="4"/>
      <c r="K15" s="11"/>
      <c r="L15" s="11"/>
      <c r="P15" s="4" t="s">
        <v>48</v>
      </c>
      <c r="Q15" s="28">
        <f>IF(P15="","",SUMIF($B$11:$B$110,P15,$I$11:$I$110))</f>
        <v>0</v>
      </c>
      <c r="R15" s="24">
        <f>IF(P15="","",IFERROR(SUMIFS($F$11:$F$110,$B$11:$B$110,P15,$C$11:$C$110,"Compra")/SUMIFS($D$11:$D$110,$B$11:$B$110,P15,$C$11:$C$110,"Compra"),0))</f>
        <v>0</v>
      </c>
      <c r="S15" s="11">
        <v>101</v>
      </c>
      <c r="T15" s="28">
        <f>IF(OR(P15="",S15=""),"",Q15*S15)</f>
        <v>0</v>
      </c>
      <c r="U15" s="28">
        <f>IF(T15="","",T15-Q15*R15)</f>
        <v>0</v>
      </c>
      <c r="V15" s="13">
        <f>IF(T15="","",T15/$O$7)</f>
        <v>0</v>
      </c>
    </row>
    <row r="16" spans="1:22">
      <c r="A16" s="10"/>
      <c r="B16" s="4"/>
      <c r="C16" s="4"/>
      <c r="D16" s="17"/>
      <c r="E16" s="11"/>
      <c r="F16" s="28">
        <f>IF(OR(D16="",E16=""),"",D16*E16)</f>
        <v>0</v>
      </c>
      <c r="G16" s="28">
        <f>IF(F16="","",F16*$C$5)</f>
        <v>0</v>
      </c>
      <c r="H16" s="28">
        <f>IF(F16="","",IF(C16="Compra",-(F16+G16),F16-G16))</f>
        <v>0</v>
      </c>
      <c r="I16" s="28">
        <f>IF(D16="","",IF(C16="Compra",D16,-D16))</f>
        <v>0</v>
      </c>
      <c r="J16" s="4"/>
      <c r="K16" s="11"/>
      <c r="L16" s="11"/>
      <c r="P16" s="4"/>
      <c r="Q16" s="28">
        <f>IF(P16="","",SUMIF($B$11:$B$110,P16,$I$11:$I$110))</f>
        <v>0</v>
      </c>
      <c r="R16" s="24">
        <f>IF(P16="","",IFERROR(SUMIFS($F$11:$F$110,$B$11:$B$110,P16,$C$11:$C$110,"Compra")/SUMIFS($D$11:$D$110,$B$11:$B$110,P16,$C$11:$C$110,"Compra"),0))</f>
        <v>0</v>
      </c>
      <c r="S16" s="11"/>
      <c r="T16" s="28">
        <f>IF(OR(P16="",S16=""),"",Q16*S16)</f>
        <v>0</v>
      </c>
      <c r="U16" s="28">
        <f>IF(T16="","",T16-Q16*R16)</f>
        <v>0</v>
      </c>
      <c r="V16" s="13">
        <f>IF(T16="","",T16/$O$7)</f>
        <v>0</v>
      </c>
    </row>
    <row r="17" spans="1:22">
      <c r="A17" s="10"/>
      <c r="B17" s="4"/>
      <c r="C17" s="4"/>
      <c r="D17" s="17"/>
      <c r="E17" s="11"/>
      <c r="F17" s="28">
        <f>IF(OR(D17="",E17=""),"",D17*E17)</f>
        <v>0</v>
      </c>
      <c r="G17" s="28">
        <f>IF(F17="","",F17*$C$5)</f>
        <v>0</v>
      </c>
      <c r="H17" s="28">
        <f>IF(F17="","",IF(C17="Compra",-(F17+G17),F17-G17))</f>
        <v>0</v>
      </c>
      <c r="I17" s="28">
        <f>IF(D17="","",IF(C17="Compra",D17,-D17))</f>
        <v>0</v>
      </c>
      <c r="J17" s="4"/>
      <c r="K17" s="11"/>
      <c r="L17" s="11"/>
      <c r="P17" s="4"/>
      <c r="Q17" s="28">
        <f>IF(P17="","",SUMIF($B$11:$B$110,P17,$I$11:$I$110))</f>
        <v>0</v>
      </c>
      <c r="R17" s="24">
        <f>IF(P17="","",IFERROR(SUMIFS($F$11:$F$110,$B$11:$B$110,P17,$C$11:$C$110,"Compra")/SUMIFS($D$11:$D$110,$B$11:$B$110,P17,$C$11:$C$110,"Compra"),0))</f>
        <v>0</v>
      </c>
      <c r="S17" s="11"/>
      <c r="T17" s="28">
        <f>IF(OR(P17="",S17=""),"",Q17*S17)</f>
        <v>0</v>
      </c>
      <c r="U17" s="28">
        <f>IF(T17="","",T17-Q17*R17)</f>
        <v>0</v>
      </c>
      <c r="V17" s="13">
        <f>IF(T17="","",T17/$O$7)</f>
        <v>0</v>
      </c>
    </row>
    <row r="18" spans="1:22">
      <c r="A18" s="10"/>
      <c r="B18" s="4"/>
      <c r="C18" s="4"/>
      <c r="D18" s="17"/>
      <c r="E18" s="11"/>
      <c r="F18" s="28">
        <f>IF(OR(D18="",E18=""),"",D18*E18)</f>
        <v>0</v>
      </c>
      <c r="G18" s="28">
        <f>IF(F18="","",F18*$C$5)</f>
        <v>0</v>
      </c>
      <c r="H18" s="28">
        <f>IF(F18="","",IF(C18="Compra",-(F18+G18),F18-G18))</f>
        <v>0</v>
      </c>
      <c r="I18" s="28">
        <f>IF(D18="","",IF(C18="Compra",D18,-D18))</f>
        <v>0</v>
      </c>
      <c r="J18" s="4"/>
      <c r="K18" s="11"/>
      <c r="L18" s="11"/>
      <c r="P18" s="4"/>
      <c r="Q18" s="28">
        <f>IF(P18="","",SUMIF($B$11:$B$110,P18,$I$11:$I$110))</f>
        <v>0</v>
      </c>
      <c r="R18" s="24">
        <f>IF(P18="","",IFERROR(SUMIFS($F$11:$F$110,$B$11:$B$110,P18,$C$11:$C$110,"Compra")/SUMIFS($D$11:$D$110,$B$11:$B$110,P18,$C$11:$C$110,"Compra"),0))</f>
        <v>0</v>
      </c>
      <c r="S18" s="11"/>
      <c r="T18" s="28">
        <f>IF(OR(P18="",S18=""),"",Q18*S18)</f>
        <v>0</v>
      </c>
      <c r="U18" s="28">
        <f>IF(T18="","",T18-Q18*R18)</f>
        <v>0</v>
      </c>
      <c r="V18" s="13">
        <f>IF(T18="","",T18/$O$7)</f>
        <v>0</v>
      </c>
    </row>
    <row r="19" spans="1:22">
      <c r="A19" s="10"/>
      <c r="B19" s="4"/>
      <c r="C19" s="4"/>
      <c r="D19" s="17"/>
      <c r="E19" s="11"/>
      <c r="F19" s="28">
        <f>IF(OR(D19="",E19=""),"",D19*E19)</f>
        <v>0</v>
      </c>
      <c r="G19" s="28">
        <f>IF(F19="","",F19*$C$5)</f>
        <v>0</v>
      </c>
      <c r="H19" s="28">
        <f>IF(F19="","",IF(C19="Compra",-(F19+G19),F19-G19))</f>
        <v>0</v>
      </c>
      <c r="I19" s="28">
        <f>IF(D19="","",IF(C19="Compra",D19,-D19))</f>
        <v>0</v>
      </c>
      <c r="J19" s="4"/>
      <c r="K19" s="11"/>
      <c r="L19" s="11"/>
      <c r="P19" s="4"/>
      <c r="Q19" s="28">
        <f>IF(P19="","",SUMIF($B$11:$B$110,P19,$I$11:$I$110))</f>
        <v>0</v>
      </c>
      <c r="R19" s="24">
        <f>IF(P19="","",IFERROR(SUMIFS($F$11:$F$110,$B$11:$B$110,P19,$C$11:$C$110,"Compra")/SUMIFS($D$11:$D$110,$B$11:$B$110,P19,$C$11:$C$110,"Compra"),0))</f>
        <v>0</v>
      </c>
      <c r="S19" s="11"/>
      <c r="T19" s="28">
        <f>IF(OR(P19="",S19=""),"",Q19*S19)</f>
        <v>0</v>
      </c>
      <c r="U19" s="28">
        <f>IF(T19="","",T19-Q19*R19)</f>
        <v>0</v>
      </c>
      <c r="V19" s="13">
        <f>IF(T19="","",T19/$O$7)</f>
        <v>0</v>
      </c>
    </row>
    <row r="20" spans="1:22">
      <c r="A20" s="10"/>
      <c r="B20" s="4"/>
      <c r="C20" s="4"/>
      <c r="D20" s="17"/>
      <c r="E20" s="11"/>
      <c r="F20" s="28">
        <f>IF(OR(D20="",E20=""),"",D20*E20)</f>
        <v>0</v>
      </c>
      <c r="G20" s="28">
        <f>IF(F20="","",F20*$C$5)</f>
        <v>0</v>
      </c>
      <c r="H20" s="28">
        <f>IF(F20="","",IF(C20="Compra",-(F20+G20),F20-G20))</f>
        <v>0</v>
      </c>
      <c r="I20" s="28">
        <f>IF(D20="","",IF(C20="Compra",D20,-D20))</f>
        <v>0</v>
      </c>
      <c r="J20" s="4"/>
      <c r="K20" s="11"/>
      <c r="L20" s="11"/>
      <c r="P20" s="4"/>
      <c r="Q20" s="28">
        <f>IF(P20="","",SUMIF($B$11:$B$110,P20,$I$11:$I$110))</f>
        <v>0</v>
      </c>
      <c r="R20" s="24">
        <f>IF(P20="","",IFERROR(SUMIFS($F$11:$F$110,$B$11:$B$110,P20,$C$11:$C$110,"Compra")/SUMIFS($D$11:$D$110,$B$11:$B$110,P20,$C$11:$C$110,"Compra"),0))</f>
        <v>0</v>
      </c>
      <c r="S20" s="11"/>
      <c r="T20" s="28">
        <f>IF(OR(P20="",S20=""),"",Q20*S20)</f>
        <v>0</v>
      </c>
      <c r="U20" s="28">
        <f>IF(T20="","",T20-Q20*R20)</f>
        <v>0</v>
      </c>
      <c r="V20" s="13">
        <f>IF(T20="","",T20/$O$7)</f>
        <v>0</v>
      </c>
    </row>
    <row r="21" spans="1:22">
      <c r="A21" s="10"/>
      <c r="B21" s="4"/>
      <c r="C21" s="4"/>
      <c r="D21" s="17"/>
      <c r="E21" s="11"/>
      <c r="F21" s="28">
        <f>IF(OR(D21="",E21=""),"",D21*E21)</f>
        <v>0</v>
      </c>
      <c r="G21" s="28">
        <f>IF(F21="","",F21*$C$5)</f>
        <v>0</v>
      </c>
      <c r="H21" s="28">
        <f>IF(F21="","",IF(C21="Compra",-(F21+G21),F21-G21))</f>
        <v>0</v>
      </c>
      <c r="I21" s="28">
        <f>IF(D21="","",IF(C21="Compra",D21,-D21))</f>
        <v>0</v>
      </c>
      <c r="J21" s="4"/>
      <c r="K21" s="11"/>
      <c r="L21" s="11"/>
      <c r="P21" s="4"/>
      <c r="Q21" s="28">
        <f>IF(P21="","",SUMIF($B$11:$B$110,P21,$I$11:$I$110))</f>
        <v>0</v>
      </c>
      <c r="R21" s="24">
        <f>IF(P21="","",IFERROR(SUMIFS($F$11:$F$110,$B$11:$B$110,P21,$C$11:$C$110,"Compra")/SUMIFS($D$11:$D$110,$B$11:$B$110,P21,$C$11:$C$110,"Compra"),0))</f>
        <v>0</v>
      </c>
      <c r="S21" s="11"/>
      <c r="T21" s="28">
        <f>IF(OR(P21="",S21=""),"",Q21*S21)</f>
        <v>0</v>
      </c>
      <c r="U21" s="28">
        <f>IF(T21="","",T21-Q21*R21)</f>
        <v>0</v>
      </c>
      <c r="V21" s="13">
        <f>IF(T21="","",T21/$O$7)</f>
        <v>0</v>
      </c>
    </row>
    <row r="22" spans="1:22">
      <c r="A22" s="10"/>
      <c r="B22" s="4"/>
      <c r="C22" s="4"/>
      <c r="D22" s="17"/>
      <c r="E22" s="11"/>
      <c r="F22" s="28">
        <f>IF(OR(D22="",E22=""),"",D22*E22)</f>
        <v>0</v>
      </c>
      <c r="G22" s="28">
        <f>IF(F22="","",F22*$C$5)</f>
        <v>0</v>
      </c>
      <c r="H22" s="28">
        <f>IF(F22="","",IF(C22="Compra",-(F22+G22),F22-G22))</f>
        <v>0</v>
      </c>
      <c r="I22" s="28">
        <f>IF(D22="","",IF(C22="Compra",D22,-D22))</f>
        <v>0</v>
      </c>
      <c r="J22" s="4"/>
      <c r="K22" s="11"/>
      <c r="L22" s="11"/>
      <c r="P22" s="4"/>
      <c r="Q22" s="28">
        <f>IF(P22="","",SUMIF($B$11:$B$110,P22,$I$11:$I$110))</f>
        <v>0</v>
      </c>
      <c r="R22" s="24">
        <f>IF(P22="","",IFERROR(SUMIFS($F$11:$F$110,$B$11:$B$110,P22,$C$11:$C$110,"Compra")/SUMIFS($D$11:$D$110,$B$11:$B$110,P22,$C$11:$C$110,"Compra"),0))</f>
        <v>0</v>
      </c>
      <c r="S22" s="11"/>
      <c r="T22" s="28">
        <f>IF(OR(P22="",S22=""),"",Q22*S22)</f>
        <v>0</v>
      </c>
      <c r="U22" s="28">
        <f>IF(T22="","",T22-Q22*R22)</f>
        <v>0</v>
      </c>
      <c r="V22" s="13">
        <f>IF(T22="","",T22/$O$7)</f>
        <v>0</v>
      </c>
    </row>
    <row r="23" spans="1:22">
      <c r="A23" s="10"/>
      <c r="B23" s="4"/>
      <c r="C23" s="4"/>
      <c r="D23" s="17"/>
      <c r="E23" s="11"/>
      <c r="F23" s="28">
        <f>IF(OR(D23="",E23=""),"",D23*E23)</f>
        <v>0</v>
      </c>
      <c r="G23" s="28">
        <f>IF(F23="","",F23*$C$5)</f>
        <v>0</v>
      </c>
      <c r="H23" s="28">
        <f>IF(F23="","",IF(C23="Compra",-(F23+G23),F23-G23))</f>
        <v>0</v>
      </c>
      <c r="I23" s="28">
        <f>IF(D23="","",IF(C23="Compra",D23,-D23))</f>
        <v>0</v>
      </c>
      <c r="J23" s="4"/>
      <c r="K23" s="11"/>
      <c r="L23" s="11"/>
      <c r="P23" s="4"/>
      <c r="Q23" s="28">
        <f>IF(P23="","",SUMIF($B$11:$B$110,P23,$I$11:$I$110))</f>
        <v>0</v>
      </c>
      <c r="R23" s="24">
        <f>IF(P23="","",IFERROR(SUMIFS($F$11:$F$110,$B$11:$B$110,P23,$C$11:$C$110,"Compra")/SUMIFS($D$11:$D$110,$B$11:$B$110,P23,$C$11:$C$110,"Compra"),0))</f>
        <v>0</v>
      </c>
      <c r="S23" s="11"/>
      <c r="T23" s="28">
        <f>IF(OR(P23="",S23=""),"",Q23*S23)</f>
        <v>0</v>
      </c>
      <c r="U23" s="28">
        <f>IF(T23="","",T23-Q23*R23)</f>
        <v>0</v>
      </c>
      <c r="V23" s="13">
        <f>IF(T23="","",T23/$O$7)</f>
        <v>0</v>
      </c>
    </row>
    <row r="24" spans="1:22">
      <c r="A24" s="10"/>
      <c r="B24" s="4"/>
      <c r="C24" s="4"/>
      <c r="D24" s="17"/>
      <c r="E24" s="11"/>
      <c r="F24" s="28">
        <f>IF(OR(D24="",E24=""),"",D24*E24)</f>
        <v>0</v>
      </c>
      <c r="G24" s="28">
        <f>IF(F24="","",F24*$C$5)</f>
        <v>0</v>
      </c>
      <c r="H24" s="28">
        <f>IF(F24="","",IF(C24="Compra",-(F24+G24),F24-G24))</f>
        <v>0</v>
      </c>
      <c r="I24" s="28">
        <f>IF(D24="","",IF(C24="Compra",D24,-D24))</f>
        <v>0</v>
      </c>
      <c r="J24" s="4"/>
      <c r="K24" s="11"/>
      <c r="L24" s="11"/>
      <c r="P24" s="4"/>
      <c r="Q24" s="28">
        <f>IF(P24="","",SUMIF($B$11:$B$110,P24,$I$11:$I$110))</f>
        <v>0</v>
      </c>
      <c r="R24" s="24">
        <f>IF(P24="","",IFERROR(SUMIFS($F$11:$F$110,$B$11:$B$110,P24,$C$11:$C$110,"Compra")/SUMIFS($D$11:$D$110,$B$11:$B$110,P24,$C$11:$C$110,"Compra"),0))</f>
        <v>0</v>
      </c>
      <c r="S24" s="11"/>
      <c r="T24" s="28">
        <f>IF(OR(P24="",S24=""),"",Q24*S24)</f>
        <v>0</v>
      </c>
      <c r="U24" s="28">
        <f>IF(T24="","",T24-Q24*R24)</f>
        <v>0</v>
      </c>
      <c r="V24" s="13">
        <f>IF(T24="","",T24/$O$7)</f>
        <v>0</v>
      </c>
    </row>
    <row r="25" spans="1:22">
      <c r="A25" s="10"/>
      <c r="B25" s="4"/>
      <c r="C25" s="4"/>
      <c r="D25" s="17"/>
      <c r="E25" s="11"/>
      <c r="F25" s="28">
        <f>IF(OR(D25="",E25=""),"",D25*E25)</f>
        <v>0</v>
      </c>
      <c r="G25" s="28">
        <f>IF(F25="","",F25*$C$5)</f>
        <v>0</v>
      </c>
      <c r="H25" s="28">
        <f>IF(F25="","",IF(C25="Compra",-(F25+G25),F25-G25))</f>
        <v>0</v>
      </c>
      <c r="I25" s="28">
        <f>IF(D25="","",IF(C25="Compra",D25,-D25))</f>
        <v>0</v>
      </c>
      <c r="J25" s="4"/>
      <c r="K25" s="11"/>
      <c r="L25" s="11"/>
      <c r="P25" s="4"/>
      <c r="Q25" s="28">
        <f>IF(P25="","",SUMIF($B$11:$B$110,P25,$I$11:$I$110))</f>
        <v>0</v>
      </c>
      <c r="R25" s="24">
        <f>IF(P25="","",IFERROR(SUMIFS($F$11:$F$110,$B$11:$B$110,P25,$C$11:$C$110,"Compra")/SUMIFS($D$11:$D$110,$B$11:$B$110,P25,$C$11:$C$110,"Compra"),0))</f>
        <v>0</v>
      </c>
      <c r="S25" s="11"/>
      <c r="T25" s="28">
        <f>IF(OR(P25="",S25=""),"",Q25*S25)</f>
        <v>0</v>
      </c>
      <c r="U25" s="28">
        <f>IF(T25="","",T25-Q25*R25)</f>
        <v>0</v>
      </c>
      <c r="V25" s="13">
        <f>IF(T25="","",T25/$O$7)</f>
        <v>0</v>
      </c>
    </row>
    <row r="26" spans="1:22">
      <c r="A26" s="10"/>
      <c r="B26" s="4"/>
      <c r="C26" s="4"/>
      <c r="D26" s="17"/>
      <c r="E26" s="11"/>
      <c r="F26" s="28">
        <f>IF(OR(D26="",E26=""),"",D26*E26)</f>
        <v>0</v>
      </c>
      <c r="G26" s="28">
        <f>IF(F26="","",F26*$C$5)</f>
        <v>0</v>
      </c>
      <c r="H26" s="28">
        <f>IF(F26="","",IF(C26="Compra",-(F26+G26),F26-G26))</f>
        <v>0</v>
      </c>
      <c r="I26" s="28">
        <f>IF(D26="","",IF(C26="Compra",D26,-D26))</f>
        <v>0</v>
      </c>
      <c r="J26" s="4"/>
      <c r="K26" s="11"/>
      <c r="L26" s="11"/>
      <c r="P26" s="4"/>
      <c r="Q26" s="28">
        <f>IF(P26="","",SUMIF($B$11:$B$110,P26,$I$11:$I$110))</f>
        <v>0</v>
      </c>
      <c r="R26" s="24">
        <f>IF(P26="","",IFERROR(SUMIFS($F$11:$F$110,$B$11:$B$110,P26,$C$11:$C$110,"Compra")/SUMIFS($D$11:$D$110,$B$11:$B$110,P26,$C$11:$C$110,"Compra"),0))</f>
        <v>0</v>
      </c>
      <c r="S26" s="11"/>
      <c r="T26" s="28">
        <f>IF(OR(P26="",S26=""),"",Q26*S26)</f>
        <v>0</v>
      </c>
      <c r="U26" s="28">
        <f>IF(T26="","",T26-Q26*R26)</f>
        <v>0</v>
      </c>
      <c r="V26" s="13">
        <f>IF(T26="","",T26/$O$7)</f>
        <v>0</v>
      </c>
    </row>
    <row r="27" spans="1:22">
      <c r="A27" s="10"/>
      <c r="B27" s="4"/>
      <c r="C27" s="4"/>
      <c r="D27" s="17"/>
      <c r="E27" s="11"/>
      <c r="F27" s="28">
        <f>IF(OR(D27="",E27=""),"",D27*E27)</f>
        <v>0</v>
      </c>
      <c r="G27" s="28">
        <f>IF(F27="","",F27*$C$5)</f>
        <v>0</v>
      </c>
      <c r="H27" s="28">
        <f>IF(F27="","",IF(C27="Compra",-(F27+G27),F27-G27))</f>
        <v>0</v>
      </c>
      <c r="I27" s="28">
        <f>IF(D27="","",IF(C27="Compra",D27,-D27))</f>
        <v>0</v>
      </c>
      <c r="J27" s="4"/>
      <c r="K27" s="11"/>
      <c r="L27" s="11"/>
      <c r="P27" s="4"/>
      <c r="Q27" s="28">
        <f>IF(P27="","",SUMIF($B$11:$B$110,P27,$I$11:$I$110))</f>
        <v>0</v>
      </c>
      <c r="R27" s="24">
        <f>IF(P27="","",IFERROR(SUMIFS($F$11:$F$110,$B$11:$B$110,P27,$C$11:$C$110,"Compra")/SUMIFS($D$11:$D$110,$B$11:$B$110,P27,$C$11:$C$110,"Compra"),0))</f>
        <v>0</v>
      </c>
      <c r="S27" s="11"/>
      <c r="T27" s="28">
        <f>IF(OR(P27="",S27=""),"",Q27*S27)</f>
        <v>0</v>
      </c>
      <c r="U27" s="28">
        <f>IF(T27="","",T27-Q27*R27)</f>
        <v>0</v>
      </c>
      <c r="V27" s="13">
        <f>IF(T27="","",T27/$O$7)</f>
        <v>0</v>
      </c>
    </row>
    <row r="28" spans="1:22">
      <c r="A28" s="10"/>
      <c r="B28" s="4"/>
      <c r="C28" s="4"/>
      <c r="D28" s="17"/>
      <c r="E28" s="11"/>
      <c r="F28" s="28">
        <f>IF(OR(D28="",E28=""),"",D28*E28)</f>
        <v>0</v>
      </c>
      <c r="G28" s="28">
        <f>IF(F28="","",F28*$C$5)</f>
        <v>0</v>
      </c>
      <c r="H28" s="28">
        <f>IF(F28="","",IF(C28="Compra",-(F28+G28),F28-G28))</f>
        <v>0</v>
      </c>
      <c r="I28" s="28">
        <f>IF(D28="","",IF(C28="Compra",D28,-D28))</f>
        <v>0</v>
      </c>
      <c r="J28" s="4"/>
      <c r="K28" s="11"/>
      <c r="L28" s="11"/>
    </row>
    <row r="29" spans="1:22">
      <c r="A29" s="10"/>
      <c r="B29" s="4"/>
      <c r="C29" s="4"/>
      <c r="D29" s="17"/>
      <c r="E29" s="11"/>
      <c r="F29" s="28">
        <f>IF(OR(D29="",E29=""),"",D29*E29)</f>
        <v>0</v>
      </c>
      <c r="G29" s="28">
        <f>IF(F29="","",F29*$C$5)</f>
        <v>0</v>
      </c>
      <c r="H29" s="28">
        <f>IF(F29="","",IF(C29="Compra",-(F29+G29),F29-G29))</f>
        <v>0</v>
      </c>
      <c r="I29" s="28">
        <f>IF(D29="","",IF(C29="Compra",D29,-D29))</f>
        <v>0</v>
      </c>
      <c r="J29" s="4"/>
      <c r="K29" s="11"/>
      <c r="L29" s="11"/>
      <c r="P29" s="16" t="s">
        <v>201</v>
      </c>
    </row>
    <row r="30" spans="1:22">
      <c r="A30" s="10"/>
      <c r="B30" s="4"/>
      <c r="C30" s="4"/>
      <c r="D30" s="17"/>
      <c r="E30" s="11"/>
      <c r="F30" s="28">
        <f>IF(OR(D30="",E30=""),"",D30*E30)</f>
        <v>0</v>
      </c>
      <c r="G30" s="28">
        <f>IF(F30="","",F30*$C$5)</f>
        <v>0</v>
      </c>
      <c r="H30" s="28">
        <f>IF(F30="","",IF(C30="Compra",-(F30+G30),F30-G30))</f>
        <v>0</v>
      </c>
      <c r="I30" s="28">
        <f>IF(D30="","",IF(C30="Compra",D30,-D30))</f>
        <v>0</v>
      </c>
      <c r="J30" s="4"/>
      <c r="K30" s="11"/>
      <c r="L30" s="11"/>
    </row>
    <row r="31" spans="1:22">
      <c r="A31" s="10"/>
      <c r="B31" s="4"/>
      <c r="C31" s="4"/>
      <c r="D31" s="17"/>
      <c r="E31" s="11"/>
      <c r="F31" s="28">
        <f>IF(OR(D31="",E31=""),"",D31*E31)</f>
        <v>0</v>
      </c>
      <c r="G31" s="28">
        <f>IF(F31="","",F31*$C$5)</f>
        <v>0</v>
      </c>
      <c r="H31" s="28">
        <f>IF(F31="","",IF(C31="Compra",-(F31+G31),F31-G31))</f>
        <v>0</v>
      </c>
      <c r="I31" s="28">
        <f>IF(D31="","",IF(C31="Compra",D31,-D31))</f>
        <v>0</v>
      </c>
      <c r="J31" s="4"/>
      <c r="K31" s="11"/>
      <c r="L31" s="11"/>
    </row>
    <row r="32" spans="1:22">
      <c r="A32" s="10"/>
      <c r="B32" s="4"/>
      <c r="C32" s="4"/>
      <c r="D32" s="17"/>
      <c r="E32" s="11"/>
      <c r="F32" s="28">
        <f>IF(OR(D32="",E32=""),"",D32*E32)</f>
        <v>0</v>
      </c>
      <c r="G32" s="28">
        <f>IF(F32="","",F32*$C$5)</f>
        <v>0</v>
      </c>
      <c r="H32" s="28">
        <f>IF(F32="","",IF(C32="Compra",-(F32+G32),F32-G32))</f>
        <v>0</v>
      </c>
      <c r="I32" s="28">
        <f>IF(D32="","",IF(C32="Compra",D32,-D32))</f>
        <v>0</v>
      </c>
      <c r="J32" s="4"/>
      <c r="K32" s="11"/>
      <c r="L32" s="11"/>
    </row>
    <row r="33" spans="1:12">
      <c r="A33" s="10"/>
      <c r="B33" s="4"/>
      <c r="C33" s="4"/>
      <c r="D33" s="17"/>
      <c r="E33" s="11"/>
      <c r="F33" s="28">
        <f>IF(OR(D33="",E33=""),"",D33*E33)</f>
        <v>0</v>
      </c>
      <c r="G33" s="28">
        <f>IF(F33="","",F33*$C$5)</f>
        <v>0</v>
      </c>
      <c r="H33" s="28">
        <f>IF(F33="","",IF(C33="Compra",-(F33+G33),F33-G33))</f>
        <v>0</v>
      </c>
      <c r="I33" s="28">
        <f>IF(D33="","",IF(C33="Compra",D33,-D33))</f>
        <v>0</v>
      </c>
      <c r="J33" s="4"/>
      <c r="K33" s="11"/>
      <c r="L33" s="11"/>
    </row>
    <row r="34" spans="1:12">
      <c r="A34" s="10"/>
      <c r="B34" s="4"/>
      <c r="C34" s="4"/>
      <c r="D34" s="17"/>
      <c r="E34" s="11"/>
      <c r="F34" s="28">
        <f>IF(OR(D34="",E34=""),"",D34*E34)</f>
        <v>0</v>
      </c>
      <c r="G34" s="28">
        <f>IF(F34="","",F34*$C$5)</f>
        <v>0</v>
      </c>
      <c r="H34" s="28">
        <f>IF(F34="","",IF(C34="Compra",-(F34+G34),F34-G34))</f>
        <v>0</v>
      </c>
      <c r="I34" s="28">
        <f>IF(D34="","",IF(C34="Compra",D34,-D34))</f>
        <v>0</v>
      </c>
      <c r="J34" s="4"/>
      <c r="K34" s="11"/>
      <c r="L34" s="11"/>
    </row>
    <row r="35" spans="1:12">
      <c r="A35" s="10"/>
      <c r="B35" s="4"/>
      <c r="C35" s="4"/>
      <c r="D35" s="17"/>
      <c r="E35" s="11"/>
      <c r="F35" s="28">
        <f>IF(OR(D35="",E35=""),"",D35*E35)</f>
        <v>0</v>
      </c>
      <c r="G35" s="28">
        <f>IF(F35="","",F35*$C$5)</f>
        <v>0</v>
      </c>
      <c r="H35" s="28">
        <f>IF(F35="","",IF(C35="Compra",-(F35+G35),F35-G35))</f>
        <v>0</v>
      </c>
      <c r="I35" s="28">
        <f>IF(D35="","",IF(C35="Compra",D35,-D35))</f>
        <v>0</v>
      </c>
      <c r="J35" s="4"/>
      <c r="K35" s="11"/>
      <c r="L35" s="11"/>
    </row>
    <row r="36" spans="1:12">
      <c r="A36" s="10"/>
      <c r="B36" s="4"/>
      <c r="C36" s="4"/>
      <c r="D36" s="17"/>
      <c r="E36" s="11"/>
      <c r="F36" s="28">
        <f>IF(OR(D36="",E36=""),"",D36*E36)</f>
        <v>0</v>
      </c>
      <c r="G36" s="28">
        <f>IF(F36="","",F36*$C$5)</f>
        <v>0</v>
      </c>
      <c r="H36" s="28">
        <f>IF(F36="","",IF(C36="Compra",-(F36+G36),F36-G36))</f>
        <v>0</v>
      </c>
      <c r="I36" s="28">
        <f>IF(D36="","",IF(C36="Compra",D36,-D36))</f>
        <v>0</v>
      </c>
      <c r="J36" s="4"/>
      <c r="K36" s="11"/>
      <c r="L36" s="11"/>
    </row>
    <row r="37" spans="1:12">
      <c r="A37" s="10"/>
      <c r="B37" s="4"/>
      <c r="C37" s="4"/>
      <c r="D37" s="17"/>
      <c r="E37" s="11"/>
      <c r="F37" s="28">
        <f>IF(OR(D37="",E37=""),"",D37*E37)</f>
        <v>0</v>
      </c>
      <c r="G37" s="28">
        <f>IF(F37="","",F37*$C$5)</f>
        <v>0</v>
      </c>
      <c r="H37" s="28">
        <f>IF(F37="","",IF(C37="Compra",-(F37+G37),F37-G37))</f>
        <v>0</v>
      </c>
      <c r="I37" s="28">
        <f>IF(D37="","",IF(C37="Compra",D37,-D37))</f>
        <v>0</v>
      </c>
      <c r="J37" s="4"/>
      <c r="K37" s="11"/>
      <c r="L37" s="11"/>
    </row>
    <row r="38" spans="1:12">
      <c r="A38" s="10"/>
      <c r="B38" s="4"/>
      <c r="C38" s="4"/>
      <c r="D38" s="17"/>
      <c r="E38" s="11"/>
      <c r="F38" s="28">
        <f>IF(OR(D38="",E38=""),"",D38*E38)</f>
        <v>0</v>
      </c>
      <c r="G38" s="28">
        <f>IF(F38="","",F38*$C$5)</f>
        <v>0</v>
      </c>
      <c r="H38" s="28">
        <f>IF(F38="","",IF(C38="Compra",-(F38+G38),F38-G38))</f>
        <v>0</v>
      </c>
      <c r="I38" s="28">
        <f>IF(D38="","",IF(C38="Compra",D38,-D38))</f>
        <v>0</v>
      </c>
      <c r="J38" s="4"/>
      <c r="K38" s="11"/>
      <c r="L38" s="11"/>
    </row>
    <row r="39" spans="1:12">
      <c r="A39" s="10"/>
      <c r="B39" s="4"/>
      <c r="C39" s="4"/>
      <c r="D39" s="17"/>
      <c r="E39" s="11"/>
      <c r="F39" s="28">
        <f>IF(OR(D39="",E39=""),"",D39*E39)</f>
        <v>0</v>
      </c>
      <c r="G39" s="28">
        <f>IF(F39="","",F39*$C$5)</f>
        <v>0</v>
      </c>
      <c r="H39" s="28">
        <f>IF(F39="","",IF(C39="Compra",-(F39+G39),F39-G39))</f>
        <v>0</v>
      </c>
      <c r="I39" s="28">
        <f>IF(D39="","",IF(C39="Compra",D39,-D39))</f>
        <v>0</v>
      </c>
      <c r="J39" s="4"/>
      <c r="K39" s="11"/>
      <c r="L39" s="11"/>
    </row>
    <row r="40" spans="1:12">
      <c r="A40" s="10"/>
      <c r="B40" s="4"/>
      <c r="C40" s="4"/>
      <c r="D40" s="17"/>
      <c r="E40" s="11"/>
      <c r="F40" s="28">
        <f>IF(OR(D40="",E40=""),"",D40*E40)</f>
        <v>0</v>
      </c>
      <c r="G40" s="28">
        <f>IF(F40="","",F40*$C$5)</f>
        <v>0</v>
      </c>
      <c r="H40" s="28">
        <f>IF(F40="","",IF(C40="Compra",-(F40+G40),F40-G40))</f>
        <v>0</v>
      </c>
      <c r="I40" s="28">
        <f>IF(D40="","",IF(C40="Compra",D40,-D40))</f>
        <v>0</v>
      </c>
      <c r="J40" s="4"/>
      <c r="K40" s="11"/>
      <c r="L40" s="11"/>
    </row>
    <row r="41" spans="1:12">
      <c r="A41" s="10"/>
      <c r="B41" s="4"/>
      <c r="C41" s="4"/>
      <c r="D41" s="17"/>
      <c r="E41" s="11"/>
      <c r="F41" s="28">
        <f>IF(OR(D41="",E41=""),"",D41*E41)</f>
        <v>0</v>
      </c>
      <c r="G41" s="28">
        <f>IF(F41="","",F41*$C$5)</f>
        <v>0</v>
      </c>
      <c r="H41" s="28">
        <f>IF(F41="","",IF(C41="Compra",-(F41+G41),F41-G41))</f>
        <v>0</v>
      </c>
      <c r="I41" s="28">
        <f>IF(D41="","",IF(C41="Compra",D41,-D41))</f>
        <v>0</v>
      </c>
      <c r="J41" s="4"/>
      <c r="K41" s="11"/>
      <c r="L41" s="11"/>
    </row>
    <row r="42" spans="1:12">
      <c r="A42" s="10"/>
      <c r="B42" s="4"/>
      <c r="C42" s="4"/>
      <c r="D42" s="17"/>
      <c r="E42" s="11"/>
      <c r="F42" s="28">
        <f>IF(OR(D42="",E42=""),"",D42*E42)</f>
        <v>0</v>
      </c>
      <c r="G42" s="28">
        <f>IF(F42="","",F42*$C$5)</f>
        <v>0</v>
      </c>
      <c r="H42" s="28">
        <f>IF(F42="","",IF(C42="Compra",-(F42+G42),F42-G42))</f>
        <v>0</v>
      </c>
      <c r="I42" s="28">
        <f>IF(D42="","",IF(C42="Compra",D42,-D42))</f>
        <v>0</v>
      </c>
      <c r="J42" s="4"/>
      <c r="K42" s="11"/>
      <c r="L42" s="11"/>
    </row>
    <row r="43" spans="1:12">
      <c r="A43" s="10"/>
      <c r="B43" s="4"/>
      <c r="C43" s="4"/>
      <c r="D43" s="17"/>
      <c r="E43" s="11"/>
      <c r="F43" s="28">
        <f>IF(OR(D43="",E43=""),"",D43*E43)</f>
        <v>0</v>
      </c>
      <c r="G43" s="28">
        <f>IF(F43="","",F43*$C$5)</f>
        <v>0</v>
      </c>
      <c r="H43" s="28">
        <f>IF(F43="","",IF(C43="Compra",-(F43+G43),F43-G43))</f>
        <v>0</v>
      </c>
      <c r="I43" s="28">
        <f>IF(D43="","",IF(C43="Compra",D43,-D43))</f>
        <v>0</v>
      </c>
      <c r="J43" s="4"/>
      <c r="K43" s="11"/>
      <c r="L43" s="11"/>
    </row>
    <row r="44" spans="1:12">
      <c r="A44" s="10"/>
      <c r="B44" s="4"/>
      <c r="C44" s="4"/>
      <c r="D44" s="17"/>
      <c r="E44" s="11"/>
      <c r="F44" s="28">
        <f>IF(OR(D44="",E44=""),"",D44*E44)</f>
        <v>0</v>
      </c>
      <c r="G44" s="28">
        <f>IF(F44="","",F44*$C$5)</f>
        <v>0</v>
      </c>
      <c r="H44" s="28">
        <f>IF(F44="","",IF(C44="Compra",-(F44+G44),F44-G44))</f>
        <v>0</v>
      </c>
      <c r="I44" s="28">
        <f>IF(D44="","",IF(C44="Compra",D44,-D44))</f>
        <v>0</v>
      </c>
      <c r="J44" s="4"/>
      <c r="K44" s="11"/>
      <c r="L44" s="11"/>
    </row>
    <row r="45" spans="1:12">
      <c r="A45" s="10"/>
      <c r="B45" s="4"/>
      <c r="C45" s="4"/>
      <c r="D45" s="17"/>
      <c r="E45" s="11"/>
      <c r="F45" s="28">
        <f>IF(OR(D45="",E45=""),"",D45*E45)</f>
        <v>0</v>
      </c>
      <c r="G45" s="28">
        <f>IF(F45="","",F45*$C$5)</f>
        <v>0</v>
      </c>
      <c r="H45" s="28">
        <f>IF(F45="","",IF(C45="Compra",-(F45+G45),F45-G45))</f>
        <v>0</v>
      </c>
      <c r="I45" s="28">
        <f>IF(D45="","",IF(C45="Compra",D45,-D45))</f>
        <v>0</v>
      </c>
      <c r="J45" s="4"/>
      <c r="K45" s="11"/>
      <c r="L45" s="11"/>
    </row>
    <row r="46" spans="1:12">
      <c r="A46" s="10"/>
      <c r="B46" s="4"/>
      <c r="C46" s="4"/>
      <c r="D46" s="17"/>
      <c r="E46" s="11"/>
      <c r="F46" s="28">
        <f>IF(OR(D46="",E46=""),"",D46*E46)</f>
        <v>0</v>
      </c>
      <c r="G46" s="28">
        <f>IF(F46="","",F46*$C$5)</f>
        <v>0</v>
      </c>
      <c r="H46" s="28">
        <f>IF(F46="","",IF(C46="Compra",-(F46+G46),F46-G46))</f>
        <v>0</v>
      </c>
      <c r="I46" s="28">
        <f>IF(D46="","",IF(C46="Compra",D46,-D46))</f>
        <v>0</v>
      </c>
      <c r="J46" s="4"/>
      <c r="K46" s="11"/>
      <c r="L46" s="11"/>
    </row>
    <row r="47" spans="1:12">
      <c r="A47" s="10"/>
      <c r="B47" s="4"/>
      <c r="C47" s="4"/>
      <c r="D47" s="17"/>
      <c r="E47" s="11"/>
      <c r="F47" s="28">
        <f>IF(OR(D47="",E47=""),"",D47*E47)</f>
        <v>0</v>
      </c>
      <c r="G47" s="28">
        <f>IF(F47="","",F47*$C$5)</f>
        <v>0</v>
      </c>
      <c r="H47" s="28">
        <f>IF(F47="","",IF(C47="Compra",-(F47+G47),F47-G47))</f>
        <v>0</v>
      </c>
      <c r="I47" s="28">
        <f>IF(D47="","",IF(C47="Compra",D47,-D47))</f>
        <v>0</v>
      </c>
      <c r="J47" s="4"/>
      <c r="K47" s="11"/>
      <c r="L47" s="11"/>
    </row>
    <row r="48" spans="1:12">
      <c r="A48" s="10"/>
      <c r="B48" s="4"/>
      <c r="C48" s="4"/>
      <c r="D48" s="17"/>
      <c r="E48" s="11"/>
      <c r="F48" s="28">
        <f>IF(OR(D48="",E48=""),"",D48*E48)</f>
        <v>0</v>
      </c>
      <c r="G48" s="28">
        <f>IF(F48="","",F48*$C$5)</f>
        <v>0</v>
      </c>
      <c r="H48" s="28">
        <f>IF(F48="","",IF(C48="Compra",-(F48+G48),F48-G48))</f>
        <v>0</v>
      </c>
      <c r="I48" s="28">
        <f>IF(D48="","",IF(C48="Compra",D48,-D48))</f>
        <v>0</v>
      </c>
      <c r="J48" s="4"/>
      <c r="K48" s="11"/>
      <c r="L48" s="11"/>
    </row>
    <row r="49" spans="1:12">
      <c r="A49" s="10"/>
      <c r="B49" s="4"/>
      <c r="C49" s="4"/>
      <c r="D49" s="17"/>
      <c r="E49" s="11"/>
      <c r="F49" s="28">
        <f>IF(OR(D49="",E49=""),"",D49*E49)</f>
        <v>0</v>
      </c>
      <c r="G49" s="28">
        <f>IF(F49="","",F49*$C$5)</f>
        <v>0</v>
      </c>
      <c r="H49" s="28">
        <f>IF(F49="","",IF(C49="Compra",-(F49+G49),F49-G49))</f>
        <v>0</v>
      </c>
      <c r="I49" s="28">
        <f>IF(D49="","",IF(C49="Compra",D49,-D49))</f>
        <v>0</v>
      </c>
      <c r="J49" s="4"/>
      <c r="K49" s="11"/>
      <c r="L49" s="11"/>
    </row>
    <row r="50" spans="1:12">
      <c r="A50" s="10"/>
      <c r="B50" s="4"/>
      <c r="C50" s="4"/>
      <c r="D50" s="17"/>
      <c r="E50" s="11"/>
      <c r="F50" s="28">
        <f>IF(OR(D50="",E50=""),"",D50*E50)</f>
        <v>0</v>
      </c>
      <c r="G50" s="28">
        <f>IF(F50="","",F50*$C$5)</f>
        <v>0</v>
      </c>
      <c r="H50" s="28">
        <f>IF(F50="","",IF(C50="Compra",-(F50+G50),F50-G50))</f>
        <v>0</v>
      </c>
      <c r="I50" s="28">
        <f>IF(D50="","",IF(C50="Compra",D50,-D50))</f>
        <v>0</v>
      </c>
      <c r="J50" s="4"/>
      <c r="K50" s="11"/>
      <c r="L50" s="11"/>
    </row>
    <row r="51" spans="1:12">
      <c r="A51" s="10"/>
      <c r="B51" s="4"/>
      <c r="C51" s="4"/>
      <c r="D51" s="17"/>
      <c r="E51" s="11"/>
      <c r="F51" s="28">
        <f>IF(OR(D51="",E51=""),"",D51*E51)</f>
        <v>0</v>
      </c>
      <c r="G51" s="28">
        <f>IF(F51="","",F51*$C$5)</f>
        <v>0</v>
      </c>
      <c r="H51" s="28">
        <f>IF(F51="","",IF(C51="Compra",-(F51+G51),F51-G51))</f>
        <v>0</v>
      </c>
      <c r="I51" s="28">
        <f>IF(D51="","",IF(C51="Compra",D51,-D51))</f>
        <v>0</v>
      </c>
      <c r="J51" s="4"/>
      <c r="K51" s="11"/>
      <c r="L51" s="11"/>
    </row>
    <row r="52" spans="1:12">
      <c r="A52" s="10"/>
      <c r="B52" s="4"/>
      <c r="C52" s="4"/>
      <c r="D52" s="17"/>
      <c r="E52" s="11"/>
      <c r="F52" s="28">
        <f>IF(OR(D52="",E52=""),"",D52*E52)</f>
        <v>0</v>
      </c>
      <c r="G52" s="28">
        <f>IF(F52="","",F52*$C$5)</f>
        <v>0</v>
      </c>
      <c r="H52" s="28">
        <f>IF(F52="","",IF(C52="Compra",-(F52+G52),F52-G52))</f>
        <v>0</v>
      </c>
      <c r="I52" s="28">
        <f>IF(D52="","",IF(C52="Compra",D52,-D52))</f>
        <v>0</v>
      </c>
      <c r="J52" s="4"/>
      <c r="K52" s="11"/>
      <c r="L52" s="11"/>
    </row>
    <row r="53" spans="1:12">
      <c r="A53" s="10"/>
      <c r="B53" s="4"/>
      <c r="C53" s="4"/>
      <c r="D53" s="17"/>
      <c r="E53" s="11"/>
      <c r="F53" s="28">
        <f>IF(OR(D53="",E53=""),"",D53*E53)</f>
        <v>0</v>
      </c>
      <c r="G53" s="28">
        <f>IF(F53="","",F53*$C$5)</f>
        <v>0</v>
      </c>
      <c r="H53" s="28">
        <f>IF(F53="","",IF(C53="Compra",-(F53+G53),F53-G53))</f>
        <v>0</v>
      </c>
      <c r="I53" s="28">
        <f>IF(D53="","",IF(C53="Compra",D53,-D53))</f>
        <v>0</v>
      </c>
      <c r="J53" s="4"/>
      <c r="K53" s="11"/>
      <c r="L53" s="11"/>
    </row>
    <row r="54" spans="1:12">
      <c r="A54" s="10"/>
      <c r="B54" s="4"/>
      <c r="C54" s="4"/>
      <c r="D54" s="17"/>
      <c r="E54" s="11"/>
      <c r="F54" s="28">
        <f>IF(OR(D54="",E54=""),"",D54*E54)</f>
        <v>0</v>
      </c>
      <c r="G54" s="28">
        <f>IF(F54="","",F54*$C$5)</f>
        <v>0</v>
      </c>
      <c r="H54" s="28">
        <f>IF(F54="","",IF(C54="Compra",-(F54+G54),F54-G54))</f>
        <v>0</v>
      </c>
      <c r="I54" s="28">
        <f>IF(D54="","",IF(C54="Compra",D54,-D54))</f>
        <v>0</v>
      </c>
      <c r="J54" s="4"/>
      <c r="K54" s="11"/>
      <c r="L54" s="11"/>
    </row>
    <row r="55" spans="1:12">
      <c r="A55" s="10"/>
      <c r="B55" s="4"/>
      <c r="C55" s="4"/>
      <c r="D55" s="17"/>
      <c r="E55" s="11"/>
      <c r="F55" s="28">
        <f>IF(OR(D55="",E55=""),"",D55*E55)</f>
        <v>0</v>
      </c>
      <c r="G55" s="28">
        <f>IF(F55="","",F55*$C$5)</f>
        <v>0</v>
      </c>
      <c r="H55" s="28">
        <f>IF(F55="","",IF(C55="Compra",-(F55+G55),F55-G55))</f>
        <v>0</v>
      </c>
      <c r="I55" s="28">
        <f>IF(D55="","",IF(C55="Compra",D55,-D55))</f>
        <v>0</v>
      </c>
      <c r="J55" s="4"/>
      <c r="K55" s="11"/>
      <c r="L55" s="11"/>
    </row>
    <row r="56" spans="1:12">
      <c r="A56" s="10"/>
      <c r="B56" s="4"/>
      <c r="C56" s="4"/>
      <c r="D56" s="17"/>
      <c r="E56" s="11"/>
      <c r="F56" s="28">
        <f>IF(OR(D56="",E56=""),"",D56*E56)</f>
        <v>0</v>
      </c>
      <c r="G56" s="28">
        <f>IF(F56="","",F56*$C$5)</f>
        <v>0</v>
      </c>
      <c r="H56" s="28">
        <f>IF(F56="","",IF(C56="Compra",-(F56+G56),F56-G56))</f>
        <v>0</v>
      </c>
      <c r="I56" s="28">
        <f>IF(D56="","",IF(C56="Compra",D56,-D56))</f>
        <v>0</v>
      </c>
      <c r="J56" s="4"/>
      <c r="K56" s="11"/>
      <c r="L56" s="11"/>
    </row>
    <row r="57" spans="1:12">
      <c r="A57" s="10"/>
      <c r="B57" s="4"/>
      <c r="C57" s="4"/>
      <c r="D57" s="17"/>
      <c r="E57" s="11"/>
      <c r="F57" s="28">
        <f>IF(OR(D57="",E57=""),"",D57*E57)</f>
        <v>0</v>
      </c>
      <c r="G57" s="28">
        <f>IF(F57="","",F57*$C$5)</f>
        <v>0</v>
      </c>
      <c r="H57" s="28">
        <f>IF(F57="","",IF(C57="Compra",-(F57+G57),F57-G57))</f>
        <v>0</v>
      </c>
      <c r="I57" s="28">
        <f>IF(D57="","",IF(C57="Compra",D57,-D57))</f>
        <v>0</v>
      </c>
      <c r="J57" s="4"/>
      <c r="K57" s="11"/>
      <c r="L57" s="11"/>
    </row>
    <row r="58" spans="1:12">
      <c r="A58" s="10"/>
      <c r="B58" s="4"/>
      <c r="C58" s="4"/>
      <c r="D58" s="17"/>
      <c r="E58" s="11"/>
      <c r="F58" s="28">
        <f>IF(OR(D58="",E58=""),"",D58*E58)</f>
        <v>0</v>
      </c>
      <c r="G58" s="28">
        <f>IF(F58="","",F58*$C$5)</f>
        <v>0</v>
      </c>
      <c r="H58" s="28">
        <f>IF(F58="","",IF(C58="Compra",-(F58+G58),F58-G58))</f>
        <v>0</v>
      </c>
      <c r="I58" s="28">
        <f>IF(D58="","",IF(C58="Compra",D58,-D58))</f>
        <v>0</v>
      </c>
      <c r="J58" s="4"/>
      <c r="K58" s="11"/>
      <c r="L58" s="11"/>
    </row>
    <row r="59" spans="1:12">
      <c r="A59" s="10"/>
      <c r="B59" s="4"/>
      <c r="C59" s="4"/>
      <c r="D59" s="17"/>
      <c r="E59" s="11"/>
      <c r="F59" s="28">
        <f>IF(OR(D59="",E59=""),"",D59*E59)</f>
        <v>0</v>
      </c>
      <c r="G59" s="28">
        <f>IF(F59="","",F59*$C$5)</f>
        <v>0</v>
      </c>
      <c r="H59" s="28">
        <f>IF(F59="","",IF(C59="Compra",-(F59+G59),F59-G59))</f>
        <v>0</v>
      </c>
      <c r="I59" s="28">
        <f>IF(D59="","",IF(C59="Compra",D59,-D59))</f>
        <v>0</v>
      </c>
      <c r="J59" s="4"/>
      <c r="K59" s="11"/>
      <c r="L59" s="11"/>
    </row>
    <row r="60" spans="1:12">
      <c r="A60" s="10"/>
      <c r="B60" s="4"/>
      <c r="C60" s="4"/>
      <c r="D60" s="17"/>
      <c r="E60" s="11"/>
      <c r="F60" s="28">
        <f>IF(OR(D60="",E60=""),"",D60*E60)</f>
        <v>0</v>
      </c>
      <c r="G60" s="28">
        <f>IF(F60="","",F60*$C$5)</f>
        <v>0</v>
      </c>
      <c r="H60" s="28">
        <f>IF(F60="","",IF(C60="Compra",-(F60+G60),F60-G60))</f>
        <v>0</v>
      </c>
      <c r="I60" s="28">
        <f>IF(D60="","",IF(C60="Compra",D60,-D60))</f>
        <v>0</v>
      </c>
      <c r="J60" s="4"/>
      <c r="K60" s="11"/>
      <c r="L60" s="11"/>
    </row>
    <row r="61" spans="1:12">
      <c r="A61" s="10"/>
      <c r="B61" s="4"/>
      <c r="C61" s="4"/>
      <c r="D61" s="17"/>
      <c r="E61" s="11"/>
      <c r="F61" s="28">
        <f>IF(OR(D61="",E61=""),"",D61*E61)</f>
        <v>0</v>
      </c>
      <c r="G61" s="28">
        <f>IF(F61="","",F61*$C$5)</f>
        <v>0</v>
      </c>
      <c r="H61" s="28">
        <f>IF(F61="","",IF(C61="Compra",-(F61+G61),F61-G61))</f>
        <v>0</v>
      </c>
      <c r="I61" s="28">
        <f>IF(D61="","",IF(C61="Compra",D61,-D61))</f>
        <v>0</v>
      </c>
      <c r="J61" s="4"/>
      <c r="K61" s="11"/>
      <c r="L61" s="11"/>
    </row>
    <row r="62" spans="1:12">
      <c r="A62" s="10"/>
      <c r="B62" s="4"/>
      <c r="C62" s="4"/>
      <c r="D62" s="17"/>
      <c r="E62" s="11"/>
      <c r="F62" s="28">
        <f>IF(OR(D62="",E62=""),"",D62*E62)</f>
        <v>0</v>
      </c>
      <c r="G62" s="28">
        <f>IF(F62="","",F62*$C$5)</f>
        <v>0</v>
      </c>
      <c r="H62" s="28">
        <f>IF(F62="","",IF(C62="Compra",-(F62+G62),F62-G62))</f>
        <v>0</v>
      </c>
      <c r="I62" s="28">
        <f>IF(D62="","",IF(C62="Compra",D62,-D62))</f>
        <v>0</v>
      </c>
      <c r="J62" s="4"/>
      <c r="K62" s="11"/>
      <c r="L62" s="11"/>
    </row>
    <row r="63" spans="1:12">
      <c r="A63" s="10"/>
      <c r="B63" s="4"/>
      <c r="C63" s="4"/>
      <c r="D63" s="17"/>
      <c r="E63" s="11"/>
      <c r="F63" s="28">
        <f>IF(OR(D63="",E63=""),"",D63*E63)</f>
        <v>0</v>
      </c>
      <c r="G63" s="28">
        <f>IF(F63="","",F63*$C$5)</f>
        <v>0</v>
      </c>
      <c r="H63" s="28">
        <f>IF(F63="","",IF(C63="Compra",-(F63+G63),F63-G63))</f>
        <v>0</v>
      </c>
      <c r="I63" s="28">
        <f>IF(D63="","",IF(C63="Compra",D63,-D63))</f>
        <v>0</v>
      </c>
      <c r="J63" s="4"/>
      <c r="K63" s="11"/>
      <c r="L63" s="11"/>
    </row>
    <row r="64" spans="1:12">
      <c r="A64" s="10"/>
      <c r="B64" s="4"/>
      <c r="C64" s="4"/>
      <c r="D64" s="17"/>
      <c r="E64" s="11"/>
      <c r="F64" s="28">
        <f>IF(OR(D64="",E64=""),"",D64*E64)</f>
        <v>0</v>
      </c>
      <c r="G64" s="28">
        <f>IF(F64="","",F64*$C$5)</f>
        <v>0</v>
      </c>
      <c r="H64" s="28">
        <f>IF(F64="","",IF(C64="Compra",-(F64+G64),F64-G64))</f>
        <v>0</v>
      </c>
      <c r="I64" s="28">
        <f>IF(D64="","",IF(C64="Compra",D64,-D64))</f>
        <v>0</v>
      </c>
      <c r="J64" s="4"/>
      <c r="K64" s="11"/>
      <c r="L64" s="11"/>
    </row>
    <row r="65" spans="1:12">
      <c r="A65" s="10"/>
      <c r="B65" s="4"/>
      <c r="C65" s="4"/>
      <c r="D65" s="17"/>
      <c r="E65" s="11"/>
      <c r="F65" s="28">
        <f>IF(OR(D65="",E65=""),"",D65*E65)</f>
        <v>0</v>
      </c>
      <c r="G65" s="28">
        <f>IF(F65="","",F65*$C$5)</f>
        <v>0</v>
      </c>
      <c r="H65" s="28">
        <f>IF(F65="","",IF(C65="Compra",-(F65+G65),F65-G65))</f>
        <v>0</v>
      </c>
      <c r="I65" s="28">
        <f>IF(D65="","",IF(C65="Compra",D65,-D65))</f>
        <v>0</v>
      </c>
      <c r="J65" s="4"/>
      <c r="K65" s="11"/>
      <c r="L65" s="11"/>
    </row>
    <row r="66" spans="1:12">
      <c r="A66" s="10"/>
      <c r="B66" s="4"/>
      <c r="C66" s="4"/>
      <c r="D66" s="17"/>
      <c r="E66" s="11"/>
      <c r="F66" s="28">
        <f>IF(OR(D66="",E66=""),"",D66*E66)</f>
        <v>0</v>
      </c>
      <c r="G66" s="28">
        <f>IF(F66="","",F66*$C$5)</f>
        <v>0</v>
      </c>
      <c r="H66" s="28">
        <f>IF(F66="","",IF(C66="Compra",-(F66+G66),F66-G66))</f>
        <v>0</v>
      </c>
      <c r="I66" s="28">
        <f>IF(D66="","",IF(C66="Compra",D66,-D66))</f>
        <v>0</v>
      </c>
      <c r="J66" s="4"/>
      <c r="K66" s="11"/>
      <c r="L66" s="11"/>
    </row>
    <row r="67" spans="1:12">
      <c r="A67" s="10"/>
      <c r="B67" s="4"/>
      <c r="C67" s="4"/>
      <c r="D67" s="17"/>
      <c r="E67" s="11"/>
      <c r="F67" s="28">
        <f>IF(OR(D67="",E67=""),"",D67*E67)</f>
        <v>0</v>
      </c>
      <c r="G67" s="28">
        <f>IF(F67="","",F67*$C$5)</f>
        <v>0</v>
      </c>
      <c r="H67" s="28">
        <f>IF(F67="","",IF(C67="Compra",-(F67+G67),F67-G67))</f>
        <v>0</v>
      </c>
      <c r="I67" s="28">
        <f>IF(D67="","",IF(C67="Compra",D67,-D67))</f>
        <v>0</v>
      </c>
      <c r="J67" s="4"/>
      <c r="K67" s="11"/>
      <c r="L67" s="11"/>
    </row>
    <row r="68" spans="1:12">
      <c r="A68" s="10"/>
      <c r="B68" s="4"/>
      <c r="C68" s="4"/>
      <c r="D68" s="17"/>
      <c r="E68" s="11"/>
      <c r="F68" s="28">
        <f>IF(OR(D68="",E68=""),"",D68*E68)</f>
        <v>0</v>
      </c>
      <c r="G68" s="28">
        <f>IF(F68="","",F68*$C$5)</f>
        <v>0</v>
      </c>
      <c r="H68" s="28">
        <f>IF(F68="","",IF(C68="Compra",-(F68+G68),F68-G68))</f>
        <v>0</v>
      </c>
      <c r="I68" s="28">
        <f>IF(D68="","",IF(C68="Compra",D68,-D68))</f>
        <v>0</v>
      </c>
      <c r="J68" s="4"/>
      <c r="K68" s="11"/>
      <c r="L68" s="11"/>
    </row>
    <row r="69" spans="1:12">
      <c r="A69" s="10"/>
      <c r="B69" s="4"/>
      <c r="C69" s="4"/>
      <c r="D69" s="17"/>
      <c r="E69" s="11"/>
      <c r="F69" s="28">
        <f>IF(OR(D69="",E69=""),"",D69*E69)</f>
        <v>0</v>
      </c>
      <c r="G69" s="28">
        <f>IF(F69="","",F69*$C$5)</f>
        <v>0</v>
      </c>
      <c r="H69" s="28">
        <f>IF(F69="","",IF(C69="Compra",-(F69+G69),F69-G69))</f>
        <v>0</v>
      </c>
      <c r="I69" s="28">
        <f>IF(D69="","",IF(C69="Compra",D69,-D69))</f>
        <v>0</v>
      </c>
      <c r="J69" s="4"/>
      <c r="K69" s="11"/>
      <c r="L69" s="11"/>
    </row>
    <row r="70" spans="1:12">
      <c r="A70" s="10"/>
      <c r="B70" s="4"/>
      <c r="C70" s="4"/>
      <c r="D70" s="17"/>
      <c r="E70" s="11"/>
      <c r="F70" s="28">
        <f>IF(OR(D70="",E70=""),"",D70*E70)</f>
        <v>0</v>
      </c>
      <c r="G70" s="28">
        <f>IF(F70="","",F70*$C$5)</f>
        <v>0</v>
      </c>
      <c r="H70" s="28">
        <f>IF(F70="","",IF(C70="Compra",-(F70+G70),F70-G70))</f>
        <v>0</v>
      </c>
      <c r="I70" s="28">
        <f>IF(D70="","",IF(C70="Compra",D70,-D70))</f>
        <v>0</v>
      </c>
      <c r="J70" s="4"/>
      <c r="K70" s="11"/>
      <c r="L70" s="11"/>
    </row>
    <row r="71" spans="1:12">
      <c r="A71" s="10"/>
      <c r="B71" s="4"/>
      <c r="C71" s="4"/>
      <c r="D71" s="17"/>
      <c r="E71" s="11"/>
      <c r="F71" s="28">
        <f>IF(OR(D71="",E71=""),"",D71*E71)</f>
        <v>0</v>
      </c>
      <c r="G71" s="28">
        <f>IF(F71="","",F71*$C$5)</f>
        <v>0</v>
      </c>
      <c r="H71" s="28">
        <f>IF(F71="","",IF(C71="Compra",-(F71+G71),F71-G71))</f>
        <v>0</v>
      </c>
      <c r="I71" s="28">
        <f>IF(D71="","",IF(C71="Compra",D71,-D71))</f>
        <v>0</v>
      </c>
      <c r="J71" s="4"/>
      <c r="K71" s="11"/>
      <c r="L71" s="11"/>
    </row>
    <row r="72" spans="1:12">
      <c r="A72" s="10"/>
      <c r="B72" s="4"/>
      <c r="C72" s="4"/>
      <c r="D72" s="17"/>
      <c r="E72" s="11"/>
      <c r="F72" s="28">
        <f>IF(OR(D72="",E72=""),"",D72*E72)</f>
        <v>0</v>
      </c>
      <c r="G72" s="28">
        <f>IF(F72="","",F72*$C$5)</f>
        <v>0</v>
      </c>
      <c r="H72" s="28">
        <f>IF(F72="","",IF(C72="Compra",-(F72+G72),F72-G72))</f>
        <v>0</v>
      </c>
      <c r="I72" s="28">
        <f>IF(D72="","",IF(C72="Compra",D72,-D72))</f>
        <v>0</v>
      </c>
      <c r="J72" s="4"/>
      <c r="K72" s="11"/>
      <c r="L72" s="11"/>
    </row>
    <row r="73" spans="1:12">
      <c r="A73" s="10"/>
      <c r="B73" s="4"/>
      <c r="C73" s="4"/>
      <c r="D73" s="17"/>
      <c r="E73" s="11"/>
      <c r="F73" s="28">
        <f>IF(OR(D73="",E73=""),"",D73*E73)</f>
        <v>0</v>
      </c>
      <c r="G73" s="28">
        <f>IF(F73="","",F73*$C$5)</f>
        <v>0</v>
      </c>
      <c r="H73" s="28">
        <f>IF(F73="","",IF(C73="Compra",-(F73+G73),F73-G73))</f>
        <v>0</v>
      </c>
      <c r="I73" s="28">
        <f>IF(D73="","",IF(C73="Compra",D73,-D73))</f>
        <v>0</v>
      </c>
      <c r="J73" s="4"/>
      <c r="K73" s="11"/>
      <c r="L73" s="11"/>
    </row>
    <row r="74" spans="1:12">
      <c r="A74" s="10"/>
      <c r="B74" s="4"/>
      <c r="C74" s="4"/>
      <c r="D74" s="17"/>
      <c r="E74" s="11"/>
      <c r="F74" s="28">
        <f>IF(OR(D74="",E74=""),"",D74*E74)</f>
        <v>0</v>
      </c>
      <c r="G74" s="28">
        <f>IF(F74="","",F74*$C$5)</f>
        <v>0</v>
      </c>
      <c r="H74" s="28">
        <f>IF(F74="","",IF(C74="Compra",-(F74+G74),F74-G74))</f>
        <v>0</v>
      </c>
      <c r="I74" s="28">
        <f>IF(D74="","",IF(C74="Compra",D74,-D74))</f>
        <v>0</v>
      </c>
      <c r="J74" s="4"/>
      <c r="K74" s="11"/>
      <c r="L74" s="11"/>
    </row>
    <row r="75" spans="1:12">
      <c r="A75" s="10"/>
      <c r="B75" s="4"/>
      <c r="C75" s="4"/>
      <c r="D75" s="17"/>
      <c r="E75" s="11"/>
      <c r="F75" s="28">
        <f>IF(OR(D75="",E75=""),"",D75*E75)</f>
        <v>0</v>
      </c>
      <c r="G75" s="28">
        <f>IF(F75="","",F75*$C$5)</f>
        <v>0</v>
      </c>
      <c r="H75" s="28">
        <f>IF(F75="","",IF(C75="Compra",-(F75+G75),F75-G75))</f>
        <v>0</v>
      </c>
      <c r="I75" s="28">
        <f>IF(D75="","",IF(C75="Compra",D75,-D75))</f>
        <v>0</v>
      </c>
      <c r="J75" s="4"/>
      <c r="K75" s="11"/>
      <c r="L75" s="11"/>
    </row>
    <row r="76" spans="1:12">
      <c r="A76" s="10"/>
      <c r="B76" s="4"/>
      <c r="C76" s="4"/>
      <c r="D76" s="17"/>
      <c r="E76" s="11"/>
      <c r="F76" s="28">
        <f>IF(OR(D76="",E76=""),"",D76*E76)</f>
        <v>0</v>
      </c>
      <c r="G76" s="28">
        <f>IF(F76="","",F76*$C$5)</f>
        <v>0</v>
      </c>
      <c r="H76" s="28">
        <f>IF(F76="","",IF(C76="Compra",-(F76+G76),F76-G76))</f>
        <v>0</v>
      </c>
      <c r="I76" s="28">
        <f>IF(D76="","",IF(C76="Compra",D76,-D76))</f>
        <v>0</v>
      </c>
      <c r="J76" s="4"/>
      <c r="K76" s="11"/>
      <c r="L76" s="11"/>
    </row>
    <row r="77" spans="1:12">
      <c r="A77" s="10"/>
      <c r="B77" s="4"/>
      <c r="C77" s="4"/>
      <c r="D77" s="17"/>
      <c r="E77" s="11"/>
      <c r="F77" s="28">
        <f>IF(OR(D77="",E77=""),"",D77*E77)</f>
        <v>0</v>
      </c>
      <c r="G77" s="28">
        <f>IF(F77="","",F77*$C$5)</f>
        <v>0</v>
      </c>
      <c r="H77" s="28">
        <f>IF(F77="","",IF(C77="Compra",-(F77+G77),F77-G77))</f>
        <v>0</v>
      </c>
      <c r="I77" s="28">
        <f>IF(D77="","",IF(C77="Compra",D77,-D77))</f>
        <v>0</v>
      </c>
      <c r="J77" s="4"/>
      <c r="K77" s="11"/>
      <c r="L77" s="11"/>
    </row>
    <row r="78" spans="1:12">
      <c r="A78" s="10"/>
      <c r="B78" s="4"/>
      <c r="C78" s="4"/>
      <c r="D78" s="17"/>
      <c r="E78" s="11"/>
      <c r="F78" s="28">
        <f>IF(OR(D78="",E78=""),"",D78*E78)</f>
        <v>0</v>
      </c>
      <c r="G78" s="28">
        <f>IF(F78="","",F78*$C$5)</f>
        <v>0</v>
      </c>
      <c r="H78" s="28">
        <f>IF(F78="","",IF(C78="Compra",-(F78+G78),F78-G78))</f>
        <v>0</v>
      </c>
      <c r="I78" s="28">
        <f>IF(D78="","",IF(C78="Compra",D78,-D78))</f>
        <v>0</v>
      </c>
      <c r="J78" s="4"/>
      <c r="K78" s="11"/>
      <c r="L78" s="11"/>
    </row>
    <row r="79" spans="1:12">
      <c r="A79" s="10"/>
      <c r="B79" s="4"/>
      <c r="C79" s="4"/>
      <c r="D79" s="17"/>
      <c r="E79" s="11"/>
      <c r="F79" s="28">
        <f>IF(OR(D79="",E79=""),"",D79*E79)</f>
        <v>0</v>
      </c>
      <c r="G79" s="28">
        <f>IF(F79="","",F79*$C$5)</f>
        <v>0</v>
      </c>
      <c r="H79" s="28">
        <f>IF(F79="","",IF(C79="Compra",-(F79+G79),F79-G79))</f>
        <v>0</v>
      </c>
      <c r="I79" s="28">
        <f>IF(D79="","",IF(C79="Compra",D79,-D79))</f>
        <v>0</v>
      </c>
      <c r="J79" s="4"/>
      <c r="K79" s="11"/>
      <c r="L79" s="11"/>
    </row>
    <row r="80" spans="1:12">
      <c r="A80" s="10"/>
      <c r="B80" s="4"/>
      <c r="C80" s="4"/>
      <c r="D80" s="17"/>
      <c r="E80" s="11"/>
      <c r="F80" s="28">
        <f>IF(OR(D80="",E80=""),"",D80*E80)</f>
        <v>0</v>
      </c>
      <c r="G80" s="28">
        <f>IF(F80="","",F80*$C$5)</f>
        <v>0</v>
      </c>
      <c r="H80" s="28">
        <f>IF(F80="","",IF(C80="Compra",-(F80+G80),F80-G80))</f>
        <v>0</v>
      </c>
      <c r="I80" s="28">
        <f>IF(D80="","",IF(C80="Compra",D80,-D80))</f>
        <v>0</v>
      </c>
      <c r="J80" s="4"/>
      <c r="K80" s="11"/>
      <c r="L80" s="11"/>
    </row>
    <row r="81" spans="1:12">
      <c r="A81" s="10"/>
      <c r="B81" s="4"/>
      <c r="C81" s="4"/>
      <c r="D81" s="17"/>
      <c r="E81" s="11"/>
      <c r="F81" s="28">
        <f>IF(OR(D81="",E81=""),"",D81*E81)</f>
        <v>0</v>
      </c>
      <c r="G81" s="28">
        <f>IF(F81="","",F81*$C$5)</f>
        <v>0</v>
      </c>
      <c r="H81" s="28">
        <f>IF(F81="","",IF(C81="Compra",-(F81+G81),F81-G81))</f>
        <v>0</v>
      </c>
      <c r="I81" s="28">
        <f>IF(D81="","",IF(C81="Compra",D81,-D81))</f>
        <v>0</v>
      </c>
      <c r="J81" s="4"/>
      <c r="K81" s="11"/>
      <c r="L81" s="11"/>
    </row>
    <row r="82" spans="1:12">
      <c r="A82" s="10"/>
      <c r="B82" s="4"/>
      <c r="C82" s="4"/>
      <c r="D82" s="17"/>
      <c r="E82" s="11"/>
      <c r="F82" s="28">
        <f>IF(OR(D82="",E82=""),"",D82*E82)</f>
        <v>0</v>
      </c>
      <c r="G82" s="28">
        <f>IF(F82="","",F82*$C$5)</f>
        <v>0</v>
      </c>
      <c r="H82" s="28">
        <f>IF(F82="","",IF(C82="Compra",-(F82+G82),F82-G82))</f>
        <v>0</v>
      </c>
      <c r="I82" s="28">
        <f>IF(D82="","",IF(C82="Compra",D82,-D82))</f>
        <v>0</v>
      </c>
      <c r="J82" s="4"/>
      <c r="K82" s="11"/>
      <c r="L82" s="11"/>
    </row>
    <row r="83" spans="1:12">
      <c r="A83" s="10"/>
      <c r="B83" s="4"/>
      <c r="C83" s="4"/>
      <c r="D83" s="17"/>
      <c r="E83" s="11"/>
      <c r="F83" s="28">
        <f>IF(OR(D83="",E83=""),"",D83*E83)</f>
        <v>0</v>
      </c>
      <c r="G83" s="28">
        <f>IF(F83="","",F83*$C$5)</f>
        <v>0</v>
      </c>
      <c r="H83" s="28">
        <f>IF(F83="","",IF(C83="Compra",-(F83+G83),F83-G83))</f>
        <v>0</v>
      </c>
      <c r="I83" s="28">
        <f>IF(D83="","",IF(C83="Compra",D83,-D83))</f>
        <v>0</v>
      </c>
      <c r="J83" s="4"/>
      <c r="K83" s="11"/>
      <c r="L83" s="11"/>
    </row>
    <row r="84" spans="1:12">
      <c r="A84" s="10"/>
      <c r="B84" s="4"/>
      <c r="C84" s="4"/>
      <c r="D84" s="17"/>
      <c r="E84" s="11"/>
      <c r="F84" s="28">
        <f>IF(OR(D84="",E84=""),"",D84*E84)</f>
        <v>0</v>
      </c>
      <c r="G84" s="28">
        <f>IF(F84="","",F84*$C$5)</f>
        <v>0</v>
      </c>
      <c r="H84" s="28">
        <f>IF(F84="","",IF(C84="Compra",-(F84+G84),F84-G84))</f>
        <v>0</v>
      </c>
      <c r="I84" s="28">
        <f>IF(D84="","",IF(C84="Compra",D84,-D84))</f>
        <v>0</v>
      </c>
      <c r="J84" s="4"/>
      <c r="K84" s="11"/>
      <c r="L84" s="11"/>
    </row>
    <row r="85" spans="1:12">
      <c r="A85" s="10"/>
      <c r="B85" s="4"/>
      <c r="C85" s="4"/>
      <c r="D85" s="17"/>
      <c r="E85" s="11"/>
      <c r="F85" s="28">
        <f>IF(OR(D85="",E85=""),"",D85*E85)</f>
        <v>0</v>
      </c>
      <c r="G85" s="28">
        <f>IF(F85="","",F85*$C$5)</f>
        <v>0</v>
      </c>
      <c r="H85" s="28">
        <f>IF(F85="","",IF(C85="Compra",-(F85+G85),F85-G85))</f>
        <v>0</v>
      </c>
      <c r="I85" s="28">
        <f>IF(D85="","",IF(C85="Compra",D85,-D85))</f>
        <v>0</v>
      </c>
      <c r="J85" s="4"/>
      <c r="K85" s="11"/>
      <c r="L85" s="11"/>
    </row>
    <row r="86" spans="1:12">
      <c r="A86" s="10"/>
      <c r="B86" s="4"/>
      <c r="C86" s="4"/>
      <c r="D86" s="17"/>
      <c r="E86" s="11"/>
      <c r="F86" s="28">
        <f>IF(OR(D86="",E86=""),"",D86*E86)</f>
        <v>0</v>
      </c>
      <c r="G86" s="28">
        <f>IF(F86="","",F86*$C$5)</f>
        <v>0</v>
      </c>
      <c r="H86" s="28">
        <f>IF(F86="","",IF(C86="Compra",-(F86+G86),F86-G86))</f>
        <v>0</v>
      </c>
      <c r="I86" s="28">
        <f>IF(D86="","",IF(C86="Compra",D86,-D86))</f>
        <v>0</v>
      </c>
      <c r="J86" s="4"/>
      <c r="K86" s="11"/>
      <c r="L86" s="11"/>
    </row>
    <row r="87" spans="1:12">
      <c r="A87" s="10"/>
      <c r="B87" s="4"/>
      <c r="C87" s="4"/>
      <c r="D87" s="17"/>
      <c r="E87" s="11"/>
      <c r="F87" s="28">
        <f>IF(OR(D87="",E87=""),"",D87*E87)</f>
        <v>0</v>
      </c>
      <c r="G87" s="28">
        <f>IF(F87="","",F87*$C$5)</f>
        <v>0</v>
      </c>
      <c r="H87" s="28">
        <f>IF(F87="","",IF(C87="Compra",-(F87+G87),F87-G87))</f>
        <v>0</v>
      </c>
      <c r="I87" s="28">
        <f>IF(D87="","",IF(C87="Compra",D87,-D87))</f>
        <v>0</v>
      </c>
      <c r="J87" s="4"/>
      <c r="K87" s="11"/>
      <c r="L87" s="11"/>
    </row>
    <row r="88" spans="1:12">
      <c r="A88" s="10"/>
      <c r="B88" s="4"/>
      <c r="C88" s="4"/>
      <c r="D88" s="17"/>
      <c r="E88" s="11"/>
      <c r="F88" s="28">
        <f>IF(OR(D88="",E88=""),"",D88*E88)</f>
        <v>0</v>
      </c>
      <c r="G88" s="28">
        <f>IF(F88="","",F88*$C$5)</f>
        <v>0</v>
      </c>
      <c r="H88" s="28">
        <f>IF(F88="","",IF(C88="Compra",-(F88+G88),F88-G88))</f>
        <v>0</v>
      </c>
      <c r="I88" s="28">
        <f>IF(D88="","",IF(C88="Compra",D88,-D88))</f>
        <v>0</v>
      </c>
      <c r="J88" s="4"/>
      <c r="K88" s="11"/>
      <c r="L88" s="11"/>
    </row>
    <row r="89" spans="1:12">
      <c r="A89" s="10"/>
      <c r="B89" s="4"/>
      <c r="C89" s="4"/>
      <c r="D89" s="17"/>
      <c r="E89" s="11"/>
      <c r="F89" s="28">
        <f>IF(OR(D89="",E89=""),"",D89*E89)</f>
        <v>0</v>
      </c>
      <c r="G89" s="28">
        <f>IF(F89="","",F89*$C$5)</f>
        <v>0</v>
      </c>
      <c r="H89" s="28">
        <f>IF(F89="","",IF(C89="Compra",-(F89+G89),F89-G89))</f>
        <v>0</v>
      </c>
      <c r="I89" s="28">
        <f>IF(D89="","",IF(C89="Compra",D89,-D89))</f>
        <v>0</v>
      </c>
      <c r="J89" s="4"/>
      <c r="K89" s="11"/>
      <c r="L89" s="11"/>
    </row>
    <row r="90" spans="1:12">
      <c r="A90" s="10"/>
      <c r="B90" s="4"/>
      <c r="C90" s="4"/>
      <c r="D90" s="17"/>
      <c r="E90" s="11"/>
      <c r="F90" s="28">
        <f>IF(OR(D90="",E90=""),"",D90*E90)</f>
        <v>0</v>
      </c>
      <c r="G90" s="28">
        <f>IF(F90="","",F90*$C$5)</f>
        <v>0</v>
      </c>
      <c r="H90" s="28">
        <f>IF(F90="","",IF(C90="Compra",-(F90+G90),F90-G90))</f>
        <v>0</v>
      </c>
      <c r="I90" s="28">
        <f>IF(D90="","",IF(C90="Compra",D90,-D90))</f>
        <v>0</v>
      </c>
      <c r="J90" s="4"/>
      <c r="K90" s="11"/>
      <c r="L90" s="11"/>
    </row>
    <row r="91" spans="1:12">
      <c r="A91" s="10"/>
      <c r="B91" s="4"/>
      <c r="C91" s="4"/>
      <c r="D91" s="17"/>
      <c r="E91" s="11"/>
      <c r="F91" s="28">
        <f>IF(OR(D91="",E91=""),"",D91*E91)</f>
        <v>0</v>
      </c>
      <c r="G91" s="28">
        <f>IF(F91="","",F91*$C$5)</f>
        <v>0</v>
      </c>
      <c r="H91" s="28">
        <f>IF(F91="","",IF(C91="Compra",-(F91+G91),F91-G91))</f>
        <v>0</v>
      </c>
      <c r="I91" s="28">
        <f>IF(D91="","",IF(C91="Compra",D91,-D91))</f>
        <v>0</v>
      </c>
      <c r="J91" s="4"/>
      <c r="K91" s="11"/>
      <c r="L91" s="11"/>
    </row>
    <row r="92" spans="1:12">
      <c r="A92" s="10"/>
      <c r="B92" s="4"/>
      <c r="C92" s="4"/>
      <c r="D92" s="17"/>
      <c r="E92" s="11"/>
      <c r="F92" s="28">
        <f>IF(OR(D92="",E92=""),"",D92*E92)</f>
        <v>0</v>
      </c>
      <c r="G92" s="28">
        <f>IF(F92="","",F92*$C$5)</f>
        <v>0</v>
      </c>
      <c r="H92" s="28">
        <f>IF(F92="","",IF(C92="Compra",-(F92+G92),F92-G92))</f>
        <v>0</v>
      </c>
      <c r="I92" s="28">
        <f>IF(D92="","",IF(C92="Compra",D92,-D92))</f>
        <v>0</v>
      </c>
      <c r="J92" s="4"/>
      <c r="K92" s="11"/>
      <c r="L92" s="11"/>
    </row>
    <row r="93" spans="1:12">
      <c r="A93" s="10"/>
      <c r="B93" s="4"/>
      <c r="C93" s="4"/>
      <c r="D93" s="17"/>
      <c r="E93" s="11"/>
      <c r="F93" s="28">
        <f>IF(OR(D93="",E93=""),"",D93*E93)</f>
        <v>0</v>
      </c>
      <c r="G93" s="28">
        <f>IF(F93="","",F93*$C$5)</f>
        <v>0</v>
      </c>
      <c r="H93" s="28">
        <f>IF(F93="","",IF(C93="Compra",-(F93+G93),F93-G93))</f>
        <v>0</v>
      </c>
      <c r="I93" s="28">
        <f>IF(D93="","",IF(C93="Compra",D93,-D93))</f>
        <v>0</v>
      </c>
      <c r="J93" s="4"/>
      <c r="K93" s="11"/>
      <c r="L93" s="11"/>
    </row>
    <row r="94" spans="1:12">
      <c r="A94" s="10"/>
      <c r="B94" s="4"/>
      <c r="C94" s="4"/>
      <c r="D94" s="17"/>
      <c r="E94" s="11"/>
      <c r="F94" s="28">
        <f>IF(OR(D94="",E94=""),"",D94*E94)</f>
        <v>0</v>
      </c>
      <c r="G94" s="28">
        <f>IF(F94="","",F94*$C$5)</f>
        <v>0</v>
      </c>
      <c r="H94" s="28">
        <f>IF(F94="","",IF(C94="Compra",-(F94+G94),F94-G94))</f>
        <v>0</v>
      </c>
      <c r="I94" s="28">
        <f>IF(D94="","",IF(C94="Compra",D94,-D94))</f>
        <v>0</v>
      </c>
      <c r="J94" s="4"/>
      <c r="K94" s="11"/>
      <c r="L94" s="11"/>
    </row>
    <row r="95" spans="1:12">
      <c r="A95" s="10"/>
      <c r="B95" s="4"/>
      <c r="C95" s="4"/>
      <c r="D95" s="17"/>
      <c r="E95" s="11"/>
      <c r="F95" s="28">
        <f>IF(OR(D95="",E95=""),"",D95*E95)</f>
        <v>0</v>
      </c>
      <c r="G95" s="28">
        <f>IF(F95="","",F95*$C$5)</f>
        <v>0</v>
      </c>
      <c r="H95" s="28">
        <f>IF(F95="","",IF(C95="Compra",-(F95+G95),F95-G95))</f>
        <v>0</v>
      </c>
      <c r="I95" s="28">
        <f>IF(D95="","",IF(C95="Compra",D95,-D95))</f>
        <v>0</v>
      </c>
      <c r="J95" s="4"/>
      <c r="K95" s="11"/>
      <c r="L95" s="11"/>
    </row>
    <row r="96" spans="1:12">
      <c r="A96" s="10"/>
      <c r="B96" s="4"/>
      <c r="C96" s="4"/>
      <c r="D96" s="17"/>
      <c r="E96" s="11"/>
      <c r="F96" s="28">
        <f>IF(OR(D96="",E96=""),"",D96*E96)</f>
        <v>0</v>
      </c>
      <c r="G96" s="28">
        <f>IF(F96="","",F96*$C$5)</f>
        <v>0</v>
      </c>
      <c r="H96" s="28">
        <f>IF(F96="","",IF(C96="Compra",-(F96+G96),F96-G96))</f>
        <v>0</v>
      </c>
      <c r="I96" s="28">
        <f>IF(D96="","",IF(C96="Compra",D96,-D96))</f>
        <v>0</v>
      </c>
      <c r="J96" s="4"/>
      <c r="K96" s="11"/>
      <c r="L96" s="11"/>
    </row>
    <row r="97" spans="1:12">
      <c r="A97" s="10"/>
      <c r="B97" s="4"/>
      <c r="C97" s="4"/>
      <c r="D97" s="17"/>
      <c r="E97" s="11"/>
      <c r="F97" s="28">
        <f>IF(OR(D97="",E97=""),"",D97*E97)</f>
        <v>0</v>
      </c>
      <c r="G97" s="28">
        <f>IF(F97="","",F97*$C$5)</f>
        <v>0</v>
      </c>
      <c r="H97" s="28">
        <f>IF(F97="","",IF(C97="Compra",-(F97+G97),F97-G97))</f>
        <v>0</v>
      </c>
      <c r="I97" s="28">
        <f>IF(D97="","",IF(C97="Compra",D97,-D97))</f>
        <v>0</v>
      </c>
      <c r="J97" s="4"/>
      <c r="K97" s="11"/>
      <c r="L97" s="11"/>
    </row>
    <row r="98" spans="1:12">
      <c r="A98" s="10"/>
      <c r="B98" s="4"/>
      <c r="C98" s="4"/>
      <c r="D98" s="17"/>
      <c r="E98" s="11"/>
      <c r="F98" s="28">
        <f>IF(OR(D98="",E98=""),"",D98*E98)</f>
        <v>0</v>
      </c>
      <c r="G98" s="28">
        <f>IF(F98="","",F98*$C$5)</f>
        <v>0</v>
      </c>
      <c r="H98" s="28">
        <f>IF(F98="","",IF(C98="Compra",-(F98+G98),F98-G98))</f>
        <v>0</v>
      </c>
      <c r="I98" s="28">
        <f>IF(D98="","",IF(C98="Compra",D98,-D98))</f>
        <v>0</v>
      </c>
      <c r="J98" s="4"/>
      <c r="K98" s="11"/>
      <c r="L98" s="11"/>
    </row>
    <row r="99" spans="1:12">
      <c r="A99" s="10"/>
      <c r="B99" s="4"/>
      <c r="C99" s="4"/>
      <c r="D99" s="17"/>
      <c r="E99" s="11"/>
      <c r="F99" s="28">
        <f>IF(OR(D99="",E99=""),"",D99*E99)</f>
        <v>0</v>
      </c>
      <c r="G99" s="28">
        <f>IF(F99="","",F99*$C$5)</f>
        <v>0</v>
      </c>
      <c r="H99" s="28">
        <f>IF(F99="","",IF(C99="Compra",-(F99+G99),F99-G99))</f>
        <v>0</v>
      </c>
      <c r="I99" s="28">
        <f>IF(D99="","",IF(C99="Compra",D99,-D99))</f>
        <v>0</v>
      </c>
      <c r="J99" s="4"/>
      <c r="K99" s="11"/>
      <c r="L99" s="11"/>
    </row>
    <row r="100" spans="1:12">
      <c r="A100" s="10"/>
      <c r="B100" s="4"/>
      <c r="C100" s="4"/>
      <c r="D100" s="17"/>
      <c r="E100" s="11"/>
      <c r="F100" s="28">
        <f>IF(OR(D100="",E100=""),"",D100*E100)</f>
        <v>0</v>
      </c>
      <c r="G100" s="28">
        <f>IF(F100="","",F100*$C$5)</f>
        <v>0</v>
      </c>
      <c r="H100" s="28">
        <f>IF(F100="","",IF(C100="Compra",-(F100+G100),F100-G100))</f>
        <v>0</v>
      </c>
      <c r="I100" s="28">
        <f>IF(D100="","",IF(C100="Compra",D100,-D100))</f>
        <v>0</v>
      </c>
      <c r="J100" s="4"/>
      <c r="K100" s="11"/>
      <c r="L100" s="11"/>
    </row>
    <row r="101" spans="1:12">
      <c r="A101" s="10"/>
      <c r="B101" s="4"/>
      <c r="C101" s="4"/>
      <c r="D101" s="17"/>
      <c r="E101" s="11"/>
      <c r="F101" s="28">
        <f>IF(OR(D101="",E101=""),"",D101*E101)</f>
        <v>0</v>
      </c>
      <c r="G101" s="28">
        <f>IF(F101="","",F101*$C$5)</f>
        <v>0</v>
      </c>
      <c r="H101" s="28">
        <f>IF(F101="","",IF(C101="Compra",-(F101+G101),F101-G101))</f>
        <v>0</v>
      </c>
      <c r="I101" s="28">
        <f>IF(D101="","",IF(C101="Compra",D101,-D101))</f>
        <v>0</v>
      </c>
      <c r="J101" s="4"/>
      <c r="K101" s="11"/>
      <c r="L101" s="11"/>
    </row>
    <row r="102" spans="1:12">
      <c r="A102" s="10"/>
      <c r="B102" s="4"/>
      <c r="C102" s="4"/>
      <c r="D102" s="17"/>
      <c r="E102" s="11"/>
      <c r="F102" s="28">
        <f>IF(OR(D102="",E102=""),"",D102*E102)</f>
        <v>0</v>
      </c>
      <c r="G102" s="28">
        <f>IF(F102="","",F102*$C$5)</f>
        <v>0</v>
      </c>
      <c r="H102" s="28">
        <f>IF(F102="","",IF(C102="Compra",-(F102+G102),F102-G102))</f>
        <v>0</v>
      </c>
      <c r="I102" s="28">
        <f>IF(D102="","",IF(C102="Compra",D102,-D102))</f>
        <v>0</v>
      </c>
      <c r="J102" s="4"/>
      <c r="K102" s="11"/>
      <c r="L102" s="11"/>
    </row>
    <row r="103" spans="1:12">
      <c r="A103" s="10"/>
      <c r="B103" s="4"/>
      <c r="C103" s="4"/>
      <c r="D103" s="17"/>
      <c r="E103" s="11"/>
      <c r="F103" s="28">
        <f>IF(OR(D103="",E103=""),"",D103*E103)</f>
        <v>0</v>
      </c>
      <c r="G103" s="28">
        <f>IF(F103="","",F103*$C$5)</f>
        <v>0</v>
      </c>
      <c r="H103" s="28">
        <f>IF(F103="","",IF(C103="Compra",-(F103+G103),F103-G103))</f>
        <v>0</v>
      </c>
      <c r="I103" s="28">
        <f>IF(D103="","",IF(C103="Compra",D103,-D103))</f>
        <v>0</v>
      </c>
      <c r="J103" s="4"/>
      <c r="K103" s="11"/>
      <c r="L103" s="11"/>
    </row>
    <row r="104" spans="1:12">
      <c r="A104" s="10"/>
      <c r="B104" s="4"/>
      <c r="C104" s="4"/>
      <c r="D104" s="17"/>
      <c r="E104" s="11"/>
      <c r="F104" s="28">
        <f>IF(OR(D104="",E104=""),"",D104*E104)</f>
        <v>0</v>
      </c>
      <c r="G104" s="28">
        <f>IF(F104="","",F104*$C$5)</f>
        <v>0</v>
      </c>
      <c r="H104" s="28">
        <f>IF(F104="","",IF(C104="Compra",-(F104+G104),F104-G104))</f>
        <v>0</v>
      </c>
      <c r="I104" s="28">
        <f>IF(D104="","",IF(C104="Compra",D104,-D104))</f>
        <v>0</v>
      </c>
      <c r="J104" s="4"/>
      <c r="K104" s="11"/>
      <c r="L104" s="11"/>
    </row>
    <row r="105" spans="1:12">
      <c r="A105" s="10"/>
      <c r="B105" s="4"/>
      <c r="C105" s="4"/>
      <c r="D105" s="17"/>
      <c r="E105" s="11"/>
      <c r="F105" s="28">
        <f>IF(OR(D105="",E105=""),"",D105*E105)</f>
        <v>0</v>
      </c>
      <c r="G105" s="28">
        <f>IF(F105="","",F105*$C$5)</f>
        <v>0</v>
      </c>
      <c r="H105" s="28">
        <f>IF(F105="","",IF(C105="Compra",-(F105+G105),F105-G105))</f>
        <v>0</v>
      </c>
      <c r="I105" s="28">
        <f>IF(D105="","",IF(C105="Compra",D105,-D105))</f>
        <v>0</v>
      </c>
      <c r="J105" s="4"/>
      <c r="K105" s="11"/>
      <c r="L105" s="11"/>
    </row>
    <row r="106" spans="1:12">
      <c r="A106" s="10"/>
      <c r="B106" s="4"/>
      <c r="C106" s="4"/>
      <c r="D106" s="17"/>
      <c r="E106" s="11"/>
      <c r="F106" s="28">
        <f>IF(OR(D106="",E106=""),"",D106*E106)</f>
        <v>0</v>
      </c>
      <c r="G106" s="28">
        <f>IF(F106="","",F106*$C$5)</f>
        <v>0</v>
      </c>
      <c r="H106" s="28">
        <f>IF(F106="","",IF(C106="Compra",-(F106+G106),F106-G106))</f>
        <v>0</v>
      </c>
      <c r="I106" s="28">
        <f>IF(D106="","",IF(C106="Compra",D106,-D106))</f>
        <v>0</v>
      </c>
      <c r="J106" s="4"/>
      <c r="K106" s="11"/>
      <c r="L106" s="11"/>
    </row>
    <row r="107" spans="1:12">
      <c r="A107" s="10"/>
      <c r="B107" s="4"/>
      <c r="C107" s="4"/>
      <c r="D107" s="17"/>
      <c r="E107" s="11"/>
      <c r="F107" s="28">
        <f>IF(OR(D107="",E107=""),"",D107*E107)</f>
        <v>0</v>
      </c>
      <c r="G107" s="28">
        <f>IF(F107="","",F107*$C$5)</f>
        <v>0</v>
      </c>
      <c r="H107" s="28">
        <f>IF(F107="","",IF(C107="Compra",-(F107+G107),F107-G107))</f>
        <v>0</v>
      </c>
      <c r="I107" s="28">
        <f>IF(D107="","",IF(C107="Compra",D107,-D107))</f>
        <v>0</v>
      </c>
      <c r="J107" s="4"/>
      <c r="K107" s="11"/>
      <c r="L107" s="11"/>
    </row>
    <row r="108" spans="1:12">
      <c r="A108" s="10"/>
      <c r="B108" s="4"/>
      <c r="C108" s="4"/>
      <c r="D108" s="17"/>
      <c r="E108" s="11"/>
      <c r="F108" s="28">
        <f>IF(OR(D108="",E108=""),"",D108*E108)</f>
        <v>0</v>
      </c>
      <c r="G108" s="28">
        <f>IF(F108="","",F108*$C$5)</f>
        <v>0</v>
      </c>
      <c r="H108" s="28">
        <f>IF(F108="","",IF(C108="Compra",-(F108+G108),F108-G108))</f>
        <v>0</v>
      </c>
      <c r="I108" s="28">
        <f>IF(D108="","",IF(C108="Compra",D108,-D108))</f>
        <v>0</v>
      </c>
      <c r="J108" s="4"/>
      <c r="K108" s="11"/>
      <c r="L108" s="11"/>
    </row>
    <row r="109" spans="1:12">
      <c r="A109" s="10"/>
      <c r="B109" s="4"/>
      <c r="C109" s="4"/>
      <c r="D109" s="17"/>
      <c r="E109" s="11"/>
      <c r="F109" s="28">
        <f>IF(OR(D109="",E109=""),"",D109*E109)</f>
        <v>0</v>
      </c>
      <c r="G109" s="28">
        <f>IF(F109="","",F109*$C$5)</f>
        <v>0</v>
      </c>
      <c r="H109" s="28">
        <f>IF(F109="","",IF(C109="Compra",-(F109+G109),F109-G109))</f>
        <v>0</v>
      </c>
      <c r="I109" s="28">
        <f>IF(D109="","",IF(C109="Compra",D109,-D109))</f>
        <v>0</v>
      </c>
      <c r="J109" s="4"/>
      <c r="K109" s="11"/>
      <c r="L109" s="11"/>
    </row>
    <row r="110" spans="1:12">
      <c r="A110" s="10"/>
      <c r="B110" s="4"/>
      <c r="C110" s="4"/>
      <c r="D110" s="17"/>
      <c r="E110" s="11"/>
      <c r="F110" s="28">
        <f>IF(OR(D110="",E110=""),"",D110*E110)</f>
        <v>0</v>
      </c>
      <c r="G110" s="28">
        <f>IF(F110="","",F110*$C$5)</f>
        <v>0</v>
      </c>
      <c r="H110" s="28">
        <f>IF(F110="","",IF(C110="Compra",-(F110+G110),F110-G110))</f>
        <v>0</v>
      </c>
      <c r="I110" s="28">
        <f>IF(D110="","",IF(C110="Compra",D110,-D110))</f>
        <v>0</v>
      </c>
      <c r="J110" s="4"/>
      <c r="K110" s="11"/>
      <c r="L110" s="11"/>
    </row>
  </sheetData>
  <dataValidations count="1">
    <dataValidation type="list" allowBlank="1" showInputMessage="1" showErrorMessage="1" sqref="C11:C110">
      <formula1>"Compra,Venta"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cols>
    <col min="1" max="1" width="40.7109375" customWidth="1"/>
    <col min="2" max="8" width="12.7109375" customWidth="1"/>
  </cols>
  <sheetData>
    <row r="1" spans="1:3">
      <c r="A1" s="1" t="s">
        <v>202</v>
      </c>
    </row>
    <row r="3" spans="1:3">
      <c r="A3" s="3" t="s">
        <v>203</v>
      </c>
    </row>
    <row r="4" spans="1:3">
      <c r="A4" s="14" t="s">
        <v>164</v>
      </c>
      <c r="B4" s="13">
        <f>'9_Simulador_CCI'!C5</f>
        <v>0</v>
      </c>
    </row>
    <row r="5" spans="1:3">
      <c r="A5" s="14" t="s">
        <v>204</v>
      </c>
      <c r="B5" s="18">
        <f>(1+B4)/(1-B4)-1</f>
        <v>0</v>
      </c>
      <c r="C5" s="16" t="s">
        <v>205</v>
      </c>
    </row>
    <row r="7" spans="1:3">
      <c r="A7" s="7" t="s">
        <v>206</v>
      </c>
      <c r="B7" s="7" t="s">
        <v>207</v>
      </c>
      <c r="C7" s="7" t="s">
        <v>208</v>
      </c>
    </row>
    <row r="8" spans="1:3">
      <c r="A8" s="28">
        <v>1</v>
      </c>
      <c r="B8" s="13">
        <f>1-((1-$B$4)/(1+$B$4))^A8</f>
        <v>0</v>
      </c>
      <c r="C8" s="16" t="s">
        <v>209</v>
      </c>
    </row>
    <row r="9" spans="1:3">
      <c r="A9" s="28">
        <v>2</v>
      </c>
      <c r="B9" s="13">
        <f>1-((1-$B$4)/(1+$B$4))^A9</f>
        <v>0</v>
      </c>
    </row>
    <row r="10" spans="1:3">
      <c r="A10" s="28">
        <v>4</v>
      </c>
      <c r="B10" s="13">
        <f>1-((1-$B$4)/(1+$B$4))^A10</f>
        <v>0</v>
      </c>
    </row>
    <row r="11" spans="1:3">
      <c r="A11" s="28">
        <v>6</v>
      </c>
      <c r="B11" s="13">
        <f>1-((1-$B$4)/(1+$B$4))^A11</f>
        <v>0</v>
      </c>
    </row>
    <row r="12" spans="1:3">
      <c r="A12" s="28">
        <v>8</v>
      </c>
      <c r="B12" s="13">
        <f>1-((1-$B$4)/(1+$B$4))^A12</f>
        <v>0</v>
      </c>
    </row>
    <row r="13" spans="1:3">
      <c r="A13" s="28">
        <v>10</v>
      </c>
      <c r="B13" s="13">
        <f>1-((1-$B$4)/(1+$B$4))^A13</f>
        <v>0</v>
      </c>
    </row>
    <row r="14" spans="1:3">
      <c r="A14" s="28">
        <v>15</v>
      </c>
      <c r="B14" s="13">
        <f>1-((1-$B$4)/(1+$B$4))^A14</f>
        <v>0</v>
      </c>
    </row>
    <row r="15" spans="1:3">
      <c r="A15" s="28">
        <v>20</v>
      </c>
      <c r="B15" s="13">
        <f>1-((1-$B$4)/(1+$B$4))^A15</f>
        <v>0</v>
      </c>
    </row>
    <row r="17" spans="1:7">
      <c r="A17" s="3" t="s">
        <v>210</v>
      </c>
    </row>
    <row r="18" spans="1:7">
      <c r="A18" s="14" t="s">
        <v>211</v>
      </c>
      <c r="B18" s="17">
        <v>8</v>
      </c>
    </row>
    <row r="19" spans="1:7">
      <c r="A19" s="14" t="s">
        <v>212</v>
      </c>
      <c r="B19" s="15">
        <v>0.1</v>
      </c>
    </row>
    <row r="20" spans="1:7">
      <c r="A20" s="14" t="s">
        <v>213</v>
      </c>
      <c r="B20" s="16" t="s">
        <v>214</v>
      </c>
    </row>
    <row r="22" spans="1:7">
      <c r="A22" s="7" t="s">
        <v>103</v>
      </c>
      <c r="B22" s="7" t="s">
        <v>215</v>
      </c>
      <c r="C22" s="7" t="s">
        <v>216</v>
      </c>
      <c r="D22" s="7" t="s">
        <v>217</v>
      </c>
      <c r="E22" s="7" t="s">
        <v>218</v>
      </c>
      <c r="F22" s="7" t="s">
        <v>219</v>
      </c>
      <c r="G22" s="7" t="s">
        <v>220</v>
      </c>
    </row>
    <row r="23" spans="1:7">
      <c r="A23" s="13">
        <v>0.1</v>
      </c>
      <c r="B23" s="13">
        <f>1-_xlfn.NORM.DIST(LN(1+0.05),($B$19-A23^2/2)*$B$18/52,A23*SQRT($B$18/52),TRUE)</f>
        <v>0</v>
      </c>
      <c r="C23" s="13">
        <f>1-_xlfn.NORM.DIST(LN(1+0.1),($B$19-A23^2/2)*$B$18/52,A23*SQRT($B$18/52),TRUE)</f>
        <v>0</v>
      </c>
      <c r="D23" s="13">
        <f>1-_xlfn.NORM.DIST(LN(1+0.2),($B$19-A23^2/2)*$B$18/52,A23*SQRT($B$18/52),TRUE)</f>
        <v>0</v>
      </c>
      <c r="E23" s="13">
        <f>1-_xlfn.NORM.DIST(LN(1+0.3),($B$19-A23^2/2)*$B$18/52,A23*SQRT($B$18/52),TRUE)</f>
        <v>0</v>
      </c>
      <c r="F23" s="13">
        <f>1-_xlfn.NORM.DIST(LN(1+0.5),($B$19-A23^2/2)*$B$18/52,A23*SQRT($B$18/52),TRUE)</f>
        <v>0</v>
      </c>
      <c r="G23" s="13">
        <f>_xlfn.NORM.DIST(LN(0.9),($B$19-A23^2/2)*$B$18/52,A23*SQRT($B$18/52),TRUE)</f>
        <v>0</v>
      </c>
    </row>
    <row r="24" spans="1:7">
      <c r="A24" s="13">
        <v>0.15</v>
      </c>
      <c r="B24" s="13">
        <f>1-_xlfn.NORM.DIST(LN(1+0.05),($B$19-A24^2/2)*$B$18/52,A24*SQRT($B$18/52),TRUE)</f>
        <v>0</v>
      </c>
      <c r="C24" s="13">
        <f>1-_xlfn.NORM.DIST(LN(1+0.1),($B$19-A24^2/2)*$B$18/52,A24*SQRT($B$18/52),TRUE)</f>
        <v>0</v>
      </c>
      <c r="D24" s="13">
        <f>1-_xlfn.NORM.DIST(LN(1+0.2),($B$19-A24^2/2)*$B$18/52,A24*SQRT($B$18/52),TRUE)</f>
        <v>0</v>
      </c>
      <c r="E24" s="13">
        <f>1-_xlfn.NORM.DIST(LN(1+0.3),($B$19-A24^2/2)*$B$18/52,A24*SQRT($B$18/52),TRUE)</f>
        <v>0</v>
      </c>
      <c r="F24" s="13">
        <f>1-_xlfn.NORM.DIST(LN(1+0.5),($B$19-A24^2/2)*$B$18/52,A24*SQRT($B$18/52),TRUE)</f>
        <v>0</v>
      </c>
      <c r="G24" s="13">
        <f>_xlfn.NORM.DIST(LN(0.9),($B$19-A24^2/2)*$B$18/52,A24*SQRT($B$18/52),TRUE)</f>
        <v>0</v>
      </c>
    </row>
    <row r="25" spans="1:7">
      <c r="A25" s="13">
        <v>0.2</v>
      </c>
      <c r="B25" s="13">
        <f>1-_xlfn.NORM.DIST(LN(1+0.05),($B$19-A25^2/2)*$B$18/52,A25*SQRT($B$18/52),TRUE)</f>
        <v>0</v>
      </c>
      <c r="C25" s="13">
        <f>1-_xlfn.NORM.DIST(LN(1+0.1),($B$19-A25^2/2)*$B$18/52,A25*SQRT($B$18/52),TRUE)</f>
        <v>0</v>
      </c>
      <c r="D25" s="13">
        <f>1-_xlfn.NORM.DIST(LN(1+0.2),($B$19-A25^2/2)*$B$18/52,A25*SQRT($B$18/52),TRUE)</f>
        <v>0</v>
      </c>
      <c r="E25" s="13">
        <f>1-_xlfn.NORM.DIST(LN(1+0.3),($B$19-A25^2/2)*$B$18/52,A25*SQRT($B$18/52),TRUE)</f>
        <v>0</v>
      </c>
      <c r="F25" s="13">
        <f>1-_xlfn.NORM.DIST(LN(1+0.5),($B$19-A25^2/2)*$B$18/52,A25*SQRT($B$18/52),TRUE)</f>
        <v>0</v>
      </c>
      <c r="G25" s="13">
        <f>_xlfn.NORM.DIST(LN(0.9),($B$19-A25^2/2)*$B$18/52,A25*SQRT($B$18/52),TRUE)</f>
        <v>0</v>
      </c>
    </row>
    <row r="26" spans="1:7">
      <c r="A26" s="13">
        <v>0.3</v>
      </c>
      <c r="B26" s="13">
        <f>1-_xlfn.NORM.DIST(LN(1+0.05),($B$19-A26^2/2)*$B$18/52,A26*SQRT($B$18/52),TRUE)</f>
        <v>0</v>
      </c>
      <c r="C26" s="13">
        <f>1-_xlfn.NORM.DIST(LN(1+0.1),($B$19-A26^2/2)*$B$18/52,A26*SQRT($B$18/52),TRUE)</f>
        <v>0</v>
      </c>
      <c r="D26" s="13">
        <f>1-_xlfn.NORM.DIST(LN(1+0.2),($B$19-A26^2/2)*$B$18/52,A26*SQRT($B$18/52),TRUE)</f>
        <v>0</v>
      </c>
      <c r="E26" s="13">
        <f>1-_xlfn.NORM.DIST(LN(1+0.3),($B$19-A26^2/2)*$B$18/52,A26*SQRT($B$18/52),TRUE)</f>
        <v>0</v>
      </c>
      <c r="F26" s="13">
        <f>1-_xlfn.NORM.DIST(LN(1+0.5),($B$19-A26^2/2)*$B$18/52,A26*SQRT($B$18/52),TRUE)</f>
        <v>0</v>
      </c>
      <c r="G26" s="13">
        <f>_xlfn.NORM.DIST(LN(0.9),($B$19-A26^2/2)*$B$18/52,A26*SQRT($B$18/52),TRUE)</f>
        <v>0</v>
      </c>
    </row>
    <row r="27" spans="1:7">
      <c r="A27" s="13">
        <v>0.4</v>
      </c>
      <c r="B27" s="13">
        <f>1-_xlfn.NORM.DIST(LN(1+0.05),($B$19-A27^2/2)*$B$18/52,A27*SQRT($B$18/52),TRUE)</f>
        <v>0</v>
      </c>
      <c r="C27" s="13">
        <f>1-_xlfn.NORM.DIST(LN(1+0.1),($B$19-A27^2/2)*$B$18/52,A27*SQRT($B$18/52),TRUE)</f>
        <v>0</v>
      </c>
      <c r="D27" s="13">
        <f>1-_xlfn.NORM.DIST(LN(1+0.2),($B$19-A27^2/2)*$B$18/52,A27*SQRT($B$18/52),TRUE)</f>
        <v>0</v>
      </c>
      <c r="E27" s="13">
        <f>1-_xlfn.NORM.DIST(LN(1+0.3),($B$19-A27^2/2)*$B$18/52,A27*SQRT($B$18/52),TRUE)</f>
        <v>0</v>
      </c>
      <c r="F27" s="13">
        <f>1-_xlfn.NORM.DIST(LN(1+0.5),($B$19-A27^2/2)*$B$18/52,A27*SQRT($B$18/52),TRUE)</f>
        <v>0</v>
      </c>
      <c r="G27" s="13">
        <f>_xlfn.NORM.DIST(LN(0.9),($B$19-A27^2/2)*$B$18/52,A27*SQRT($B$18/52),TRUE)</f>
        <v>0</v>
      </c>
    </row>
    <row r="28" spans="1:7">
      <c r="A28" s="13">
        <v>0.5</v>
      </c>
      <c r="B28" s="13">
        <f>1-_xlfn.NORM.DIST(LN(1+0.05),($B$19-A28^2/2)*$B$18/52,A28*SQRT($B$18/52),TRUE)</f>
        <v>0</v>
      </c>
      <c r="C28" s="13">
        <f>1-_xlfn.NORM.DIST(LN(1+0.1),($B$19-A28^2/2)*$B$18/52,A28*SQRT($B$18/52),TRUE)</f>
        <v>0</v>
      </c>
      <c r="D28" s="13">
        <f>1-_xlfn.NORM.DIST(LN(1+0.2),($B$19-A28^2/2)*$B$18/52,A28*SQRT($B$18/52),TRUE)</f>
        <v>0</v>
      </c>
      <c r="E28" s="13">
        <f>1-_xlfn.NORM.DIST(LN(1+0.3),($B$19-A28^2/2)*$B$18/52,A28*SQRT($B$18/52),TRUE)</f>
        <v>0</v>
      </c>
      <c r="F28" s="13">
        <f>1-_xlfn.NORM.DIST(LN(1+0.5),($B$19-A28^2/2)*$B$18/52,A28*SQRT($B$18/52),TRUE)</f>
        <v>0</v>
      </c>
      <c r="G28" s="13">
        <f>_xlfn.NORM.DIST(LN(0.9),($B$19-A28^2/2)*$B$18/52,A28*SQRT($B$18/52),TRUE)</f>
        <v>0</v>
      </c>
    </row>
    <row r="29" spans="1:7">
      <c r="A29" s="13">
        <v>0.6</v>
      </c>
      <c r="B29" s="13">
        <f>1-_xlfn.NORM.DIST(LN(1+0.05),($B$19-A29^2/2)*$B$18/52,A29*SQRT($B$18/52),TRUE)</f>
        <v>0</v>
      </c>
      <c r="C29" s="13">
        <f>1-_xlfn.NORM.DIST(LN(1+0.1),($B$19-A29^2/2)*$B$18/52,A29*SQRT($B$18/52),TRUE)</f>
        <v>0</v>
      </c>
      <c r="D29" s="13">
        <f>1-_xlfn.NORM.DIST(LN(1+0.2),($B$19-A29^2/2)*$B$18/52,A29*SQRT($B$18/52),TRUE)</f>
        <v>0</v>
      </c>
      <c r="E29" s="13">
        <f>1-_xlfn.NORM.DIST(LN(1+0.3),($B$19-A29^2/2)*$B$18/52,A29*SQRT($B$18/52),TRUE)</f>
        <v>0</v>
      </c>
      <c r="F29" s="13">
        <f>1-_xlfn.NORM.DIST(LN(1+0.5),($B$19-A29^2/2)*$B$18/52,A29*SQRT($B$18/52),TRUE)</f>
        <v>0</v>
      </c>
      <c r="G29" s="13">
        <f>_xlfn.NORM.DIST(LN(0.9),($B$19-A29^2/2)*$B$18/52,A29*SQRT($B$18/52),TRUE)</f>
        <v>0</v>
      </c>
    </row>
    <row r="30" spans="1:7">
      <c r="A30" s="13">
        <v>0.8</v>
      </c>
      <c r="B30" s="13">
        <f>1-_xlfn.NORM.DIST(LN(1+0.05),($B$19-A30^2/2)*$B$18/52,A30*SQRT($B$18/52),TRUE)</f>
        <v>0</v>
      </c>
      <c r="C30" s="13">
        <f>1-_xlfn.NORM.DIST(LN(1+0.1),($B$19-A30^2/2)*$B$18/52,A30*SQRT($B$18/52),TRUE)</f>
        <v>0</v>
      </c>
      <c r="D30" s="13">
        <f>1-_xlfn.NORM.DIST(LN(1+0.2),($B$19-A30^2/2)*$B$18/52,A30*SQRT($B$18/52),TRUE)</f>
        <v>0</v>
      </c>
      <c r="E30" s="13">
        <f>1-_xlfn.NORM.DIST(LN(1+0.3),($B$19-A30^2/2)*$B$18/52,A30*SQRT($B$18/52),TRUE)</f>
        <v>0</v>
      </c>
      <c r="F30" s="13">
        <f>1-_xlfn.NORM.DIST(LN(1+0.5),($B$19-A30^2/2)*$B$18/52,A30*SQRT($B$18/52),TRUE)</f>
        <v>0</v>
      </c>
      <c r="G30" s="13">
        <f>_xlfn.NORM.DIST(LN(0.9),($B$19-A30^2/2)*$B$18/52,A30*SQRT($B$18/52),TRUE)</f>
        <v>0</v>
      </c>
    </row>
    <row r="33" spans="1:1" ht="30" customHeight="1">
      <c r="A33" s="16" t="s">
        <v>221</v>
      </c>
    </row>
    <row r="34" spans="1:1" ht="30" customHeight="1">
      <c r="A34" s="16" t="s">
        <v>222</v>
      </c>
    </row>
    <row r="35" spans="1:1" ht="30" customHeight="1">
      <c r="A35" s="16" t="s">
        <v>223</v>
      </c>
    </row>
    <row r="36" spans="1:1" ht="30" customHeight="1">
      <c r="A36" s="16" t="s">
        <v>224</v>
      </c>
    </row>
  </sheetData>
  <conditionalFormatting sqref="B23:F30">
    <cfRule type="colorScale" priority="1">
      <colorScale>
        <cfvo type="min" val="0"/>
        <cfvo type="max" val="0"/>
        <color rgb="FFFFFFFF"/>
        <color rgb="FF63BE7B"/>
      </colorScale>
    </cfRule>
  </conditionalFormatting>
  <conditionalFormatting sqref="G23:G30">
    <cfRule type="colorScale" priority="2">
      <colorScale>
        <cfvo type="min" val="0"/>
        <cfvo type="max" val="0"/>
        <color rgb="FFFFFFFF"/>
        <color rgb="FFF8696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W19"/>
  <sheetViews>
    <sheetView workbookViewId="0"/>
  </sheetViews>
  <sheetFormatPr defaultRowHeight="15"/>
  <cols>
    <col min="1" max="1" width="14.7109375" customWidth="1"/>
    <col min="2" max="2" width="12.7109375" customWidth="1"/>
    <col min="3" max="6" width="10.7109375" customWidth="1"/>
    <col min="7" max="8" width="11.7109375" customWidth="1"/>
    <col min="9" max="10" width="10.7109375" customWidth="1"/>
    <col min="11" max="23" width="9.7109375" customWidth="1"/>
  </cols>
  <sheetData>
    <row r="1" spans="1:23">
      <c r="A1" s="1" t="s">
        <v>225</v>
      </c>
    </row>
    <row r="2" spans="1:23">
      <c r="A2" s="2" t="s">
        <v>226</v>
      </c>
    </row>
    <row r="4" spans="1:23">
      <c r="A4" s="7" t="s">
        <v>227</v>
      </c>
      <c r="B4" s="7" t="s">
        <v>228</v>
      </c>
      <c r="C4" s="7" t="s">
        <v>144</v>
      </c>
      <c r="D4" s="7" t="s">
        <v>229</v>
      </c>
      <c r="E4" s="7" t="s">
        <v>230</v>
      </c>
      <c r="F4" s="7" t="s">
        <v>231</v>
      </c>
      <c r="G4" s="7" t="s">
        <v>232</v>
      </c>
      <c r="H4" s="7" t="s">
        <v>233</v>
      </c>
      <c r="I4" s="7" t="s">
        <v>234</v>
      </c>
      <c r="J4" s="7" t="s">
        <v>235</v>
      </c>
      <c r="K4" s="7" t="s">
        <v>236</v>
      </c>
      <c r="L4" s="7" t="s">
        <v>237</v>
      </c>
      <c r="M4" s="7" t="s">
        <v>238</v>
      </c>
      <c r="N4" s="7" t="s">
        <v>239</v>
      </c>
      <c r="O4" s="7" t="s">
        <v>240</v>
      </c>
      <c r="P4" s="7" t="s">
        <v>241</v>
      </c>
      <c r="Q4" s="7" t="s">
        <v>242</v>
      </c>
      <c r="R4" s="7" t="s">
        <v>243</v>
      </c>
      <c r="S4" s="7" t="s">
        <v>244</v>
      </c>
      <c r="T4" s="7" t="s">
        <v>245</v>
      </c>
      <c r="U4" s="7" t="s">
        <v>246</v>
      </c>
      <c r="V4" s="7" t="s">
        <v>247</v>
      </c>
      <c r="W4" s="7" t="s">
        <v>248</v>
      </c>
    </row>
    <row r="5" spans="1:23">
      <c r="A5" s="4" t="s">
        <v>45</v>
      </c>
      <c r="B5" s="4" t="s">
        <v>249</v>
      </c>
      <c r="C5" s="11">
        <v>5400</v>
      </c>
      <c r="D5" s="11">
        <v>520</v>
      </c>
      <c r="E5" s="11">
        <v>3600</v>
      </c>
      <c r="F5" s="11">
        <v>300</v>
      </c>
      <c r="G5" s="17">
        <v>0</v>
      </c>
      <c r="H5" s="17">
        <v>0</v>
      </c>
      <c r="I5" s="17">
        <v>1000</v>
      </c>
      <c r="J5" s="15">
        <v>0.06</v>
      </c>
      <c r="K5" s="26">
        <f>IFERROR(C5/D5,"")</f>
        <v>0</v>
      </c>
      <c r="L5" s="22">
        <f>IFERROR(C5/E5,"")</f>
        <v>0</v>
      </c>
      <c r="M5" s="13">
        <f>IFERROR(F5/C5,"")</f>
        <v>0</v>
      </c>
      <c r="N5" s="28">
        <f>C5*I5</f>
        <v>0</v>
      </c>
      <c r="O5" s="28">
        <f>N5+H5</f>
        <v>0</v>
      </c>
      <c r="P5" s="26">
        <f>IF(G5=0,"n/a",O5/G5)</f>
        <v>0</v>
      </c>
      <c r="Q5" s="13">
        <f>IFERROR(D5/E5,"")</f>
        <v>0</v>
      </c>
      <c r="R5" s="28">
        <f>RANK(K5,$K$5:$K$12,1)</f>
        <v>0</v>
      </c>
      <c r="S5" s="28">
        <f>RANK(M5,$M$5:$M$12,0)</f>
        <v>0</v>
      </c>
      <c r="T5" s="28">
        <f>RANK(J5,$J$5:$J$12,0)</f>
        <v>0</v>
      </c>
      <c r="U5" s="28">
        <f>RANK(Q5,$Q$5:$Q$12,0)</f>
        <v>0</v>
      </c>
      <c r="V5" s="30">
        <f>AVERAGE(R5:U5)</f>
        <v>0</v>
      </c>
      <c r="W5" s="27">
        <f>RANK(V5,$V$5:$V$12,1)</f>
        <v>0</v>
      </c>
    </row>
    <row r="6" spans="1:23">
      <c r="A6" s="4" t="s">
        <v>46</v>
      </c>
      <c r="B6" s="4" t="s">
        <v>250</v>
      </c>
      <c r="C6" s="11">
        <v>2150</v>
      </c>
      <c r="D6" s="11">
        <v>140</v>
      </c>
      <c r="E6" s="11">
        <v>2400</v>
      </c>
      <c r="F6" s="11">
        <v>45</v>
      </c>
      <c r="G6" s="17">
        <v>900</v>
      </c>
      <c r="H6" s="17">
        <v>2500</v>
      </c>
      <c r="I6" s="17">
        <v>2500</v>
      </c>
      <c r="J6" s="15">
        <v>0.12</v>
      </c>
      <c r="K6" s="26">
        <f>IFERROR(C6/D6,"")</f>
        <v>0</v>
      </c>
      <c r="L6" s="22">
        <f>IFERROR(C6/E6,"")</f>
        <v>0</v>
      </c>
      <c r="M6" s="13">
        <f>IFERROR(F6/C6,"")</f>
        <v>0</v>
      </c>
      <c r="N6" s="28">
        <f>C6*I6</f>
        <v>0</v>
      </c>
      <c r="O6" s="28">
        <f>N6+H6</f>
        <v>0</v>
      </c>
      <c r="P6" s="26">
        <f>IF(G6=0,"n/a",O6/G6)</f>
        <v>0</v>
      </c>
      <c r="Q6" s="13">
        <f>IFERROR(D6/E6,"")</f>
        <v>0</v>
      </c>
      <c r="R6" s="28">
        <f>RANK(K6,$K$5:$K$12,1)</f>
        <v>0</v>
      </c>
      <c r="S6" s="28">
        <f>RANK(M6,$M$5:$M$12,0)</f>
        <v>0</v>
      </c>
      <c r="T6" s="28">
        <f>RANK(J6,$J$5:$J$12,0)</f>
        <v>0</v>
      </c>
      <c r="U6" s="28">
        <f>RANK(Q6,$Q$5:$Q$12,0)</f>
        <v>0</v>
      </c>
      <c r="V6" s="30">
        <f>AVERAGE(R6:U6)</f>
        <v>0</v>
      </c>
      <c r="W6" s="27">
        <f>RANK(V6,$V$5:$V$12,1)</f>
        <v>0</v>
      </c>
    </row>
    <row r="7" spans="1:23">
      <c r="A7" s="4" t="s">
        <v>47</v>
      </c>
      <c r="B7" s="4" t="s">
        <v>251</v>
      </c>
      <c r="C7" s="11">
        <v>43000</v>
      </c>
      <c r="D7" s="11">
        <v>2600</v>
      </c>
      <c r="E7" s="11">
        <v>17000</v>
      </c>
      <c r="F7" s="11">
        <v>1100</v>
      </c>
      <c r="G7" s="17">
        <v>3200</v>
      </c>
      <c r="H7" s="17">
        <v>1500</v>
      </c>
      <c r="I7" s="17">
        <v>280</v>
      </c>
      <c r="J7" s="15">
        <v>0.18</v>
      </c>
      <c r="K7" s="26">
        <f>IFERROR(C7/D7,"")</f>
        <v>0</v>
      </c>
      <c r="L7" s="22">
        <f>IFERROR(C7/E7,"")</f>
        <v>0</v>
      </c>
      <c r="M7" s="13">
        <f>IFERROR(F7/C7,"")</f>
        <v>0</v>
      </c>
      <c r="N7" s="28">
        <f>C7*I7</f>
        <v>0</v>
      </c>
      <c r="O7" s="28">
        <f>N7+H7</f>
        <v>0</v>
      </c>
      <c r="P7" s="26">
        <f>IF(G7=0,"n/a",O7/G7)</f>
        <v>0</v>
      </c>
      <c r="Q7" s="13">
        <f>IFERROR(D7/E7,"")</f>
        <v>0</v>
      </c>
      <c r="R7" s="28">
        <f>RANK(K7,$K$5:$K$12,1)</f>
        <v>0</v>
      </c>
      <c r="S7" s="28">
        <f>RANK(M7,$M$5:$M$12,0)</f>
        <v>0</v>
      </c>
      <c r="T7" s="28">
        <f>RANK(J7,$J$5:$J$12,0)</f>
        <v>0</v>
      </c>
      <c r="U7" s="28">
        <f>RANK(Q7,$Q$5:$Q$12,0)</f>
        <v>0</v>
      </c>
      <c r="V7" s="30">
        <f>AVERAGE(R7:U7)</f>
        <v>0</v>
      </c>
      <c r="W7" s="27">
        <f>RANK(V7,$V$5:$V$12,1)</f>
        <v>0</v>
      </c>
    </row>
    <row r="8" spans="1:23">
      <c r="A8" s="4" t="s">
        <v>48</v>
      </c>
      <c r="B8" s="4" t="s">
        <v>252</v>
      </c>
      <c r="C8" s="11">
        <v>98</v>
      </c>
      <c r="D8" s="11">
        <v>7.5</v>
      </c>
      <c r="E8" s="11">
        <v>70</v>
      </c>
      <c r="F8" s="11">
        <v>6</v>
      </c>
      <c r="G8" s="17">
        <v>1800</v>
      </c>
      <c r="H8" s="17">
        <v>4000</v>
      </c>
      <c r="I8" s="17">
        <v>69000</v>
      </c>
      <c r="J8" s="15">
        <v>0.02</v>
      </c>
      <c r="K8" s="26">
        <f>IFERROR(C8/D8,"")</f>
        <v>0</v>
      </c>
      <c r="L8" s="22">
        <f>IFERROR(C8/E8,"")</f>
        <v>0</v>
      </c>
      <c r="M8" s="13">
        <f>IFERROR(F8/C8,"")</f>
        <v>0</v>
      </c>
      <c r="N8" s="28">
        <f>C8*I8</f>
        <v>0</v>
      </c>
      <c r="O8" s="28">
        <f>N8+H8</f>
        <v>0</v>
      </c>
      <c r="P8" s="26">
        <f>IF(G8=0,"n/a",O8/G8)</f>
        <v>0</v>
      </c>
      <c r="Q8" s="13">
        <f>IFERROR(D8/E8,"")</f>
        <v>0</v>
      </c>
      <c r="R8" s="28">
        <f>RANK(K8,$K$5:$K$12,1)</f>
        <v>0</v>
      </c>
      <c r="S8" s="28">
        <f>RANK(M8,$M$5:$M$12,0)</f>
        <v>0</v>
      </c>
      <c r="T8" s="28">
        <f>RANK(J8,$J$5:$J$12,0)</f>
        <v>0</v>
      </c>
      <c r="U8" s="28">
        <f>RANK(Q8,$Q$5:$Q$12,0)</f>
        <v>0</v>
      </c>
      <c r="V8" s="30">
        <f>AVERAGE(R8:U8)</f>
        <v>0</v>
      </c>
      <c r="W8" s="27">
        <f>RANK(V8,$V$5:$V$12,1)</f>
        <v>0</v>
      </c>
    </row>
    <row r="9" spans="1:23">
      <c r="A9" s="4" t="s">
        <v>49</v>
      </c>
      <c r="B9" s="4" t="s">
        <v>253</v>
      </c>
      <c r="C9" s="11">
        <v>6800</v>
      </c>
      <c r="D9" s="11">
        <v>410</v>
      </c>
      <c r="E9" s="11">
        <v>3900</v>
      </c>
      <c r="F9" s="11">
        <v>240</v>
      </c>
      <c r="G9" s="17">
        <v>700</v>
      </c>
      <c r="H9" s="17">
        <v>900</v>
      </c>
      <c r="I9" s="17">
        <v>370</v>
      </c>
      <c r="J9" s="15">
        <v>-0.03</v>
      </c>
      <c r="K9" s="26">
        <f>IFERROR(C9/D9,"")</f>
        <v>0</v>
      </c>
      <c r="L9" s="22">
        <f>IFERROR(C9/E9,"")</f>
        <v>0</v>
      </c>
      <c r="M9" s="13">
        <f>IFERROR(F9/C9,"")</f>
        <v>0</v>
      </c>
      <c r="N9" s="28">
        <f>C9*I9</f>
        <v>0</v>
      </c>
      <c r="O9" s="28">
        <f>N9+H9</f>
        <v>0</v>
      </c>
      <c r="P9" s="26">
        <f>IF(G9=0,"n/a",O9/G9)</f>
        <v>0</v>
      </c>
      <c r="Q9" s="13">
        <f>IFERROR(D9/E9,"")</f>
        <v>0</v>
      </c>
      <c r="R9" s="28">
        <f>RANK(K9,$K$5:$K$12,1)</f>
        <v>0</v>
      </c>
      <c r="S9" s="28">
        <f>RANK(M9,$M$5:$M$12,0)</f>
        <v>0</v>
      </c>
      <c r="T9" s="28">
        <f>RANK(J9,$J$5:$J$12,0)</f>
        <v>0</v>
      </c>
      <c r="U9" s="28">
        <f>RANK(Q9,$Q$5:$Q$12,0)</f>
        <v>0</v>
      </c>
      <c r="V9" s="30">
        <f>AVERAGE(R9:U9)</f>
        <v>0</v>
      </c>
      <c r="W9" s="27">
        <f>RANK(V9,$V$5:$V$12,1)</f>
        <v>0</v>
      </c>
    </row>
    <row r="10" spans="1:23">
      <c r="A10" s="4" t="s">
        <v>254</v>
      </c>
      <c r="B10" s="4" t="s">
        <v>251</v>
      </c>
      <c r="C10" s="11">
        <v>1650</v>
      </c>
      <c r="D10" s="11">
        <v>80</v>
      </c>
      <c r="E10" s="11">
        <v>2100</v>
      </c>
      <c r="F10" s="11">
        <v>30</v>
      </c>
      <c r="G10" s="17">
        <v>1400</v>
      </c>
      <c r="H10" s="17">
        <v>3500</v>
      </c>
      <c r="I10" s="17">
        <v>2500</v>
      </c>
      <c r="J10" s="15">
        <v>-0.08</v>
      </c>
      <c r="K10" s="26">
        <f>IFERROR(C10/D10,"")</f>
        <v>0</v>
      </c>
      <c r="L10" s="22">
        <f>IFERROR(C10/E10,"")</f>
        <v>0</v>
      </c>
      <c r="M10" s="13">
        <f>IFERROR(F10/C10,"")</f>
        <v>0</v>
      </c>
      <c r="N10" s="28">
        <f>C10*I10</f>
        <v>0</v>
      </c>
      <c r="O10" s="28">
        <f>N10+H10</f>
        <v>0</v>
      </c>
      <c r="P10" s="26">
        <f>IF(G10=0,"n/a",O10/G10)</f>
        <v>0</v>
      </c>
      <c r="Q10" s="13">
        <f>IFERROR(D10/E10,"")</f>
        <v>0</v>
      </c>
      <c r="R10" s="28">
        <f>RANK(K10,$K$5:$K$12,1)</f>
        <v>0</v>
      </c>
      <c r="S10" s="28">
        <f>RANK(M10,$M$5:$M$12,0)</f>
        <v>0</v>
      </c>
      <c r="T10" s="28">
        <f>RANK(J10,$J$5:$J$12,0)</f>
        <v>0</v>
      </c>
      <c r="U10" s="28">
        <f>RANK(Q10,$Q$5:$Q$12,0)</f>
        <v>0</v>
      </c>
      <c r="V10" s="30">
        <f>AVERAGE(R10:U10)</f>
        <v>0</v>
      </c>
      <c r="W10" s="27">
        <f>RANK(V10,$V$5:$V$12,1)</f>
        <v>0</v>
      </c>
    </row>
    <row r="11" spans="1:23">
      <c r="A11" s="4" t="s">
        <v>255</v>
      </c>
      <c r="B11" s="4" t="s">
        <v>256</v>
      </c>
      <c r="C11" s="11">
        <v>18</v>
      </c>
      <c r="D11" s="11">
        <v>1.9</v>
      </c>
      <c r="E11" s="11">
        <v>9</v>
      </c>
      <c r="F11" s="11">
        <v>0.2</v>
      </c>
      <c r="G11" s="17">
        <v>2500</v>
      </c>
      <c r="H11" s="17">
        <v>6000</v>
      </c>
      <c r="I11" s="17">
        <v>600000</v>
      </c>
      <c r="J11" s="15">
        <v>0.25</v>
      </c>
      <c r="K11" s="26">
        <f>IFERROR(C11/D11,"")</f>
        <v>0</v>
      </c>
      <c r="L11" s="22">
        <f>IFERROR(C11/E11,"")</f>
        <v>0</v>
      </c>
      <c r="M11" s="13">
        <f>IFERROR(F11/C11,"")</f>
        <v>0</v>
      </c>
      <c r="N11" s="28">
        <f>C11*I11</f>
        <v>0</v>
      </c>
      <c r="O11" s="28">
        <f>N11+H11</f>
        <v>0</v>
      </c>
      <c r="P11" s="26">
        <f>IF(G11=0,"n/a",O11/G11)</f>
        <v>0</v>
      </c>
      <c r="Q11" s="13">
        <f>IFERROR(D11/E11,"")</f>
        <v>0</v>
      </c>
      <c r="R11" s="28">
        <f>RANK(K11,$K$5:$K$12,1)</f>
        <v>0</v>
      </c>
      <c r="S11" s="28">
        <f>RANK(M11,$M$5:$M$12,0)</f>
        <v>0</v>
      </c>
      <c r="T11" s="28">
        <f>RANK(J11,$J$5:$J$12,0)</f>
        <v>0</v>
      </c>
      <c r="U11" s="28">
        <f>RANK(Q11,$Q$5:$Q$12,0)</f>
        <v>0</v>
      </c>
      <c r="V11" s="30">
        <f>AVERAGE(R11:U11)</f>
        <v>0</v>
      </c>
      <c r="W11" s="27">
        <f>RANK(V11,$V$5:$V$12,1)</f>
        <v>0</v>
      </c>
    </row>
    <row r="12" spans="1:23">
      <c r="A12" s="4" t="s">
        <v>257</v>
      </c>
      <c r="B12" s="4" t="s">
        <v>258</v>
      </c>
      <c r="C12" s="11">
        <v>3100</v>
      </c>
      <c r="D12" s="11">
        <v>150</v>
      </c>
      <c r="E12" s="11">
        <v>2800</v>
      </c>
      <c r="F12" s="11">
        <v>120</v>
      </c>
      <c r="G12" s="17">
        <v>600</v>
      </c>
      <c r="H12" s="17">
        <v>1300</v>
      </c>
      <c r="I12" s="17">
        <v>300</v>
      </c>
      <c r="J12" s="15">
        <v>0.01</v>
      </c>
      <c r="K12" s="26">
        <f>IFERROR(C12/D12,"")</f>
        <v>0</v>
      </c>
      <c r="L12" s="22">
        <f>IFERROR(C12/E12,"")</f>
        <v>0</v>
      </c>
      <c r="M12" s="13">
        <f>IFERROR(F12/C12,"")</f>
        <v>0</v>
      </c>
      <c r="N12" s="28">
        <f>C12*I12</f>
        <v>0</v>
      </c>
      <c r="O12" s="28">
        <f>N12+H12</f>
        <v>0</v>
      </c>
      <c r="P12" s="26">
        <f>IF(G12=0,"n/a",O12/G12)</f>
        <v>0</v>
      </c>
      <c r="Q12" s="13">
        <f>IFERROR(D12/E12,"")</f>
        <v>0</v>
      </c>
      <c r="R12" s="28">
        <f>RANK(K12,$K$5:$K$12,1)</f>
        <v>0</v>
      </c>
      <c r="S12" s="28">
        <f>RANK(M12,$M$5:$M$12,0)</f>
        <v>0</v>
      </c>
      <c r="T12" s="28">
        <f>RANK(J12,$J$5:$J$12,0)</f>
        <v>0</v>
      </c>
      <c r="U12" s="28">
        <f>RANK(Q12,$Q$5:$Q$12,0)</f>
        <v>0</v>
      </c>
      <c r="V12" s="30">
        <f>AVERAGE(R12:U12)</f>
        <v>0</v>
      </c>
      <c r="W12" s="27">
        <f>RANK(V12,$V$5:$V$12,1)</f>
        <v>0</v>
      </c>
    </row>
    <row r="15" spans="1:23">
      <c r="A15" s="3" t="s">
        <v>259</v>
      </c>
    </row>
    <row r="16" spans="1:23">
      <c r="A16" s="16" t="s">
        <v>260</v>
      </c>
    </row>
    <row r="17" spans="1:1">
      <c r="A17" s="16" t="s">
        <v>261</v>
      </c>
    </row>
    <row r="18" spans="1:1">
      <c r="A18" s="16" t="s">
        <v>262</v>
      </c>
    </row>
    <row r="19" spans="1:1">
      <c r="A19" s="16" t="s">
        <v>263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cols>
    <col min="1" max="1" width="9.7109375" customWidth="1"/>
    <col min="2" max="3" width="12.7109375" customWidth="1"/>
    <col min="4" max="7" width="32.7109375" customWidth="1"/>
  </cols>
  <sheetData>
    <row r="1" spans="1:7">
      <c r="A1" s="1" t="s">
        <v>264</v>
      </c>
    </row>
    <row r="3" spans="1:7">
      <c r="A3" s="3" t="s">
        <v>265</v>
      </c>
      <c r="C3" s="10">
        <v>46314</v>
      </c>
      <c r="D3" s="16" t="s">
        <v>266</v>
      </c>
    </row>
    <row r="6" spans="1:7">
      <c r="A6" s="7" t="s">
        <v>267</v>
      </c>
      <c r="B6" s="7" t="s">
        <v>268</v>
      </c>
      <c r="C6" s="7" t="s">
        <v>269</v>
      </c>
      <c r="D6" s="7" t="s">
        <v>270</v>
      </c>
      <c r="E6" s="7" t="s">
        <v>271</v>
      </c>
      <c r="F6" s="7" t="s">
        <v>272</v>
      </c>
      <c r="G6" s="7" t="s">
        <v>273</v>
      </c>
    </row>
    <row r="7" spans="1:7" ht="36" customHeight="1">
      <c r="A7" s="14" t="s">
        <v>274</v>
      </c>
      <c r="B7" s="12">
        <f>$C$3+0</f>
        <v>0</v>
      </c>
      <c r="C7" s="12">
        <f>B7+4</f>
        <v>0</v>
      </c>
      <c r="D7" s="31" t="s">
        <v>284</v>
      </c>
      <c r="E7" s="31" t="s">
        <v>285</v>
      </c>
      <c r="F7" s="29"/>
      <c r="G7" s="29"/>
    </row>
    <row r="8" spans="1:7" ht="36" customHeight="1">
      <c r="A8" s="14" t="s">
        <v>275</v>
      </c>
      <c r="B8" s="12">
        <f>$C$3+7</f>
        <v>0</v>
      </c>
      <c r="C8" s="12">
        <f>B8+4</f>
        <v>0</v>
      </c>
      <c r="D8" s="29"/>
      <c r="E8" s="29"/>
      <c r="F8" s="29"/>
      <c r="G8" s="29"/>
    </row>
    <row r="9" spans="1:7" ht="36" customHeight="1">
      <c r="A9" s="14" t="s">
        <v>276</v>
      </c>
      <c r="B9" s="12">
        <f>$C$3+14</f>
        <v>0</v>
      </c>
      <c r="C9" s="12">
        <f>B9+4</f>
        <v>0</v>
      </c>
      <c r="D9" s="29"/>
      <c r="E9" s="29"/>
      <c r="F9" s="29"/>
      <c r="G9" s="29"/>
    </row>
    <row r="10" spans="1:7" ht="36" customHeight="1">
      <c r="A10" s="14" t="s">
        <v>277</v>
      </c>
      <c r="B10" s="12">
        <f>$C$3+21</f>
        <v>0</v>
      </c>
      <c r="C10" s="12">
        <f>B10+4</f>
        <v>0</v>
      </c>
      <c r="D10" s="29"/>
      <c r="E10" s="29"/>
      <c r="F10" s="29"/>
      <c r="G10" s="29"/>
    </row>
    <row r="11" spans="1:7" ht="36" customHeight="1">
      <c r="A11" s="14" t="s">
        <v>278</v>
      </c>
      <c r="B11" s="12">
        <f>$C$3+28</f>
        <v>0</v>
      </c>
      <c r="C11" s="12">
        <f>B11+4</f>
        <v>0</v>
      </c>
      <c r="D11" s="29"/>
      <c r="E11" s="29"/>
      <c r="F11" s="29"/>
      <c r="G11" s="29"/>
    </row>
    <row r="12" spans="1:7" ht="36" customHeight="1">
      <c r="A12" s="14" t="s">
        <v>279</v>
      </c>
      <c r="B12" s="12">
        <f>$C$3+35</f>
        <v>0</v>
      </c>
      <c r="C12" s="12">
        <f>B12+4</f>
        <v>0</v>
      </c>
      <c r="D12" s="29"/>
      <c r="E12" s="29"/>
      <c r="F12" s="29"/>
      <c r="G12" s="29"/>
    </row>
    <row r="13" spans="1:7" ht="36" customHeight="1">
      <c r="A13" s="14" t="s">
        <v>280</v>
      </c>
      <c r="B13" s="12">
        <f>$C$3+42</f>
        <v>0</v>
      </c>
      <c r="C13" s="12">
        <f>B13+4</f>
        <v>0</v>
      </c>
      <c r="D13" s="29"/>
      <c r="E13" s="29"/>
      <c r="F13" s="29"/>
      <c r="G13" s="29"/>
    </row>
    <row r="14" spans="1:7" ht="36" customHeight="1">
      <c r="A14" s="14" t="s">
        <v>281</v>
      </c>
      <c r="B14" s="12">
        <f>$C$3+49</f>
        <v>0</v>
      </c>
      <c r="C14" s="12">
        <f>B14+4</f>
        <v>0</v>
      </c>
      <c r="D14" s="29"/>
      <c r="E14" s="29"/>
      <c r="F14" s="29"/>
      <c r="G14" s="29"/>
    </row>
    <row r="15" spans="1:7" ht="36" customHeight="1">
      <c r="A15" s="14" t="s">
        <v>282</v>
      </c>
      <c r="B15" s="12">
        <f>$C$3+56</f>
        <v>0</v>
      </c>
      <c r="C15" s="12">
        <f>B15+4</f>
        <v>0</v>
      </c>
      <c r="D15" s="29"/>
      <c r="E15" s="29"/>
      <c r="F15" s="29"/>
      <c r="G15" s="29"/>
    </row>
    <row r="16" spans="1:7" ht="36" customHeight="1">
      <c r="A16" s="14" t="s">
        <v>283</v>
      </c>
      <c r="B16" s="12">
        <f>$C$3+63</f>
        <v>0</v>
      </c>
      <c r="C16" s="12">
        <f>B16+4</f>
        <v>0</v>
      </c>
      <c r="D16" s="29"/>
      <c r="E16" s="29"/>
      <c r="F16" s="29"/>
      <c r="G16" s="29"/>
    </row>
    <row r="18" spans="4:6">
      <c r="D18" s="7" t="s">
        <v>286</v>
      </c>
      <c r="E18" s="7" t="s">
        <v>287</v>
      </c>
      <c r="F18" s="5">
        <f>IF(COUNTIF(E19:E28,"Si")=10,"LISTO PARA OPERAR",IF(COUNTIF(E19:E28,"No")&gt;0,"NO OPERAR AUN","completa el checklist"))</f>
        <v>0</v>
      </c>
    </row>
    <row r="19" spans="4:6">
      <c r="D19" s="9" t="s">
        <v>288</v>
      </c>
      <c r="E19" s="4"/>
    </row>
    <row r="20" spans="4:6">
      <c r="D20" s="9" t="s">
        <v>289</v>
      </c>
      <c r="E20" s="4"/>
    </row>
    <row r="21" spans="4:6">
      <c r="D21" s="9" t="s">
        <v>290</v>
      </c>
      <c r="E21" s="4"/>
    </row>
    <row r="22" spans="4:6">
      <c r="D22" s="9" t="s">
        <v>291</v>
      </c>
      <c r="E22" s="4"/>
    </row>
    <row r="23" spans="4:6">
      <c r="D23" s="9" t="s">
        <v>292</v>
      </c>
      <c r="E23" s="4"/>
    </row>
    <row r="24" spans="4:6">
      <c r="D24" s="9" t="s">
        <v>293</v>
      </c>
      <c r="E24" s="4"/>
    </row>
    <row r="25" spans="4:6">
      <c r="D25" s="9" t="s">
        <v>294</v>
      </c>
      <c r="E25" s="4"/>
    </row>
    <row r="26" spans="4:6">
      <c r="D26" s="9" t="s">
        <v>295</v>
      </c>
      <c r="E26" s="4"/>
    </row>
    <row r="27" spans="4:6">
      <c r="D27" s="9" t="s">
        <v>296</v>
      </c>
      <c r="E27" s="4"/>
    </row>
    <row r="28" spans="4:6">
      <c r="D28" s="9" t="s">
        <v>297</v>
      </c>
      <c r="E28" s="4"/>
    </row>
  </sheetData>
  <dataValidations count="10">
    <dataValidation type="list" allowBlank="1" showInputMessage="1" showErrorMessage="1" sqref="E19">
      <formula1>"Si,No"</formula1>
    </dataValidation>
    <dataValidation type="list" allowBlank="1" showInputMessage="1" showErrorMessage="1" sqref="E20">
      <formula1>"Si,No"</formula1>
    </dataValidation>
    <dataValidation type="list" allowBlank="1" showInputMessage="1" showErrorMessage="1" sqref="E21">
      <formula1>"Si,No"</formula1>
    </dataValidation>
    <dataValidation type="list" allowBlank="1" showInputMessage="1" showErrorMessage="1" sqref="E22">
      <formula1>"Si,No"</formula1>
    </dataValidation>
    <dataValidation type="list" allowBlank="1" showInputMessage="1" showErrorMessage="1" sqref="E23">
      <formula1>"Si,No"</formula1>
    </dataValidation>
    <dataValidation type="list" allowBlank="1" showInputMessage="1" showErrorMessage="1" sqref="E24">
      <formula1>"Si,No"</formula1>
    </dataValidation>
    <dataValidation type="list" allowBlank="1" showInputMessage="1" showErrorMessage="1" sqref="E25">
      <formula1>"Si,No"</formula1>
    </dataValidation>
    <dataValidation type="list" allowBlank="1" showInputMessage="1" showErrorMessage="1" sqref="E26">
      <formula1>"Si,No"</formula1>
    </dataValidation>
    <dataValidation type="list" allowBlank="1" showInputMessage="1" showErrorMessage="1" sqref="E27">
      <formula1>"Si,No"</formula1>
    </dataValidation>
    <dataValidation type="list" allowBlank="1" showInputMessage="1" showErrorMessage="1" sqref="E28">
      <formula1>"Si,No"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cols>
    <col min="1" max="1" width="6.7109375" customWidth="1"/>
    <col min="2" max="2" width="48.7109375" customWidth="1"/>
    <col min="3" max="3" width="46.7109375" customWidth="1"/>
    <col min="4" max="4" width="10.7109375" customWidth="1"/>
  </cols>
  <sheetData>
    <row r="1" spans="1:6">
      <c r="A1" s="1" t="s">
        <v>298</v>
      </c>
    </row>
    <row r="3" spans="1:6">
      <c r="A3" s="7" t="s">
        <v>299</v>
      </c>
      <c r="B3" s="7" t="s">
        <v>300</v>
      </c>
      <c r="C3" s="7" t="s">
        <v>301</v>
      </c>
      <c r="D3" s="7" t="s">
        <v>302</v>
      </c>
      <c r="F3" s="7" t="s">
        <v>345</v>
      </c>
    </row>
    <row r="4" spans="1:6">
      <c r="A4" s="28">
        <v>1</v>
      </c>
      <c r="B4" s="9" t="s">
        <v>303</v>
      </c>
      <c r="C4" s="9" t="s">
        <v>304</v>
      </c>
      <c r="D4" s="4"/>
      <c r="F4" s="18">
        <f>COUNTIF(D4:D24,"Si")/21</f>
        <v>0</v>
      </c>
    </row>
    <row r="5" spans="1:6">
      <c r="A5" s="28">
        <v>2</v>
      </c>
      <c r="B5" s="9" t="s">
        <v>305</v>
      </c>
      <c r="C5" s="9" t="s">
        <v>306</v>
      </c>
      <c r="D5" s="4"/>
    </row>
    <row r="6" spans="1:6">
      <c r="A6" s="28">
        <v>3</v>
      </c>
      <c r="B6" s="9" t="s">
        <v>307</v>
      </c>
      <c r="C6" s="9" t="s">
        <v>308</v>
      </c>
      <c r="D6" s="4"/>
    </row>
    <row r="7" spans="1:6">
      <c r="A7" s="28">
        <v>4</v>
      </c>
      <c r="B7" s="9" t="s">
        <v>309</v>
      </c>
      <c r="C7" s="9" t="s">
        <v>310</v>
      </c>
      <c r="D7" s="4"/>
    </row>
    <row r="8" spans="1:6">
      <c r="A8" s="28">
        <v>5</v>
      </c>
      <c r="B8" s="9" t="s">
        <v>311</v>
      </c>
      <c r="C8" s="9" t="s">
        <v>312</v>
      </c>
      <c r="D8" s="4"/>
    </row>
    <row r="9" spans="1:6">
      <c r="A9" s="28">
        <v>6</v>
      </c>
      <c r="B9" s="9" t="s">
        <v>313</v>
      </c>
      <c r="C9" s="9" t="s">
        <v>314</v>
      </c>
      <c r="D9" s="4"/>
    </row>
    <row r="10" spans="1:6">
      <c r="A10" s="28">
        <v>7</v>
      </c>
      <c r="B10" s="9" t="s">
        <v>315</v>
      </c>
      <c r="C10" s="9" t="s">
        <v>316</v>
      </c>
      <c r="D10" s="4"/>
    </row>
    <row r="11" spans="1:6">
      <c r="A11" s="28">
        <v>8</v>
      </c>
      <c r="B11" s="9" t="s">
        <v>317</v>
      </c>
      <c r="C11" s="9" t="s">
        <v>318</v>
      </c>
      <c r="D11" s="4"/>
    </row>
    <row r="12" spans="1:6">
      <c r="A12" s="28">
        <v>9</v>
      </c>
      <c r="B12" s="9" t="s">
        <v>319</v>
      </c>
      <c r="C12" s="9" t="s">
        <v>320</v>
      </c>
      <c r="D12" s="4"/>
    </row>
    <row r="13" spans="1:6">
      <c r="A13" s="28">
        <v>10</v>
      </c>
      <c r="B13" s="9" t="s">
        <v>321</v>
      </c>
      <c r="C13" s="9" t="s">
        <v>322</v>
      </c>
      <c r="D13" s="4"/>
    </row>
    <row r="14" spans="1:6">
      <c r="A14" s="28">
        <v>11</v>
      </c>
      <c r="B14" s="9" t="s">
        <v>323</v>
      </c>
      <c r="C14" s="9" t="s">
        <v>324</v>
      </c>
      <c r="D14" s="4"/>
    </row>
    <row r="15" spans="1:6">
      <c r="A15" s="28">
        <v>12</v>
      </c>
      <c r="B15" s="9" t="s">
        <v>325</v>
      </c>
      <c r="C15" s="9" t="s">
        <v>326</v>
      </c>
      <c r="D15" s="4"/>
    </row>
    <row r="16" spans="1:6">
      <c r="A16" s="28">
        <v>13</v>
      </c>
      <c r="B16" s="9" t="s">
        <v>327</v>
      </c>
      <c r="C16" s="9" t="s">
        <v>328</v>
      </c>
      <c r="D16" s="4"/>
    </row>
    <row r="17" spans="1:4">
      <c r="A17" s="28">
        <v>14</v>
      </c>
      <c r="B17" s="9" t="s">
        <v>329</v>
      </c>
      <c r="C17" s="9" t="s">
        <v>330</v>
      </c>
      <c r="D17" s="4"/>
    </row>
    <row r="18" spans="1:4">
      <c r="A18" s="28">
        <v>15</v>
      </c>
      <c r="B18" s="9" t="s">
        <v>331</v>
      </c>
      <c r="C18" s="9" t="s">
        <v>332</v>
      </c>
      <c r="D18" s="4"/>
    </row>
    <row r="19" spans="1:4">
      <c r="A19" s="28">
        <v>16</v>
      </c>
      <c r="B19" s="9" t="s">
        <v>333</v>
      </c>
      <c r="C19" s="9" t="s">
        <v>334</v>
      </c>
      <c r="D19" s="4"/>
    </row>
    <row r="20" spans="1:4">
      <c r="A20" s="28">
        <v>17</v>
      </c>
      <c r="B20" s="9" t="s">
        <v>335</v>
      </c>
      <c r="C20" s="9" t="s">
        <v>336</v>
      </c>
      <c r="D20" s="4"/>
    </row>
    <row r="21" spans="1:4">
      <c r="A21" s="28">
        <v>18</v>
      </c>
      <c r="B21" s="9" t="s">
        <v>337</v>
      </c>
      <c r="C21" s="9" t="s">
        <v>338</v>
      </c>
      <c r="D21" s="4"/>
    </row>
    <row r="22" spans="1:4">
      <c r="A22" s="28">
        <v>19</v>
      </c>
      <c r="B22" s="9" t="s">
        <v>339</v>
      </c>
      <c r="C22" s="9" t="s">
        <v>340</v>
      </c>
      <c r="D22" s="4"/>
    </row>
    <row r="23" spans="1:4">
      <c r="A23" s="28">
        <v>20</v>
      </c>
      <c r="B23" s="9" t="s">
        <v>341</v>
      </c>
      <c r="C23" s="9" t="s">
        <v>342</v>
      </c>
      <c r="D23" s="4"/>
    </row>
    <row r="24" spans="1:4">
      <c r="A24" s="28">
        <v>21</v>
      </c>
      <c r="B24" s="9" t="s">
        <v>343</v>
      </c>
      <c r="C24" s="9" t="s">
        <v>344</v>
      </c>
      <c r="D24" s="4"/>
    </row>
  </sheetData>
  <conditionalFormatting sqref="D4:D24">
    <cfRule type="cellIs" dxfId="2" priority="1" operator="equal">
      <formula>"Si"</formula>
    </cfRule>
  </conditionalFormatting>
  <dataValidations count="21">
    <dataValidation type="list" allowBlank="1" showInputMessage="1" showErrorMessage="1" sqref="D4">
      <formula1>"Si,No"</formula1>
    </dataValidation>
    <dataValidation type="list" allowBlank="1" showInputMessage="1" showErrorMessage="1" sqref="D5">
      <formula1>"Si,No"</formula1>
    </dataValidation>
    <dataValidation type="list" allowBlank="1" showInputMessage="1" showErrorMessage="1" sqref="D6">
      <formula1>"Si,No"</formula1>
    </dataValidation>
    <dataValidation type="list" allowBlank="1" showInputMessage="1" showErrorMessage="1" sqref="D7">
      <formula1>"Si,No"</formula1>
    </dataValidation>
    <dataValidation type="list" allowBlank="1" showInputMessage="1" showErrorMessage="1" sqref="D8">
      <formula1>"Si,No"</formula1>
    </dataValidation>
    <dataValidation type="list" allowBlank="1" showInputMessage="1" showErrorMessage="1" sqref="D9">
      <formula1>"Si,No"</formula1>
    </dataValidation>
    <dataValidation type="list" allowBlank="1" showInputMessage="1" showErrorMessage="1" sqref="D10">
      <formula1>"Si,No"</formula1>
    </dataValidation>
    <dataValidation type="list" allowBlank="1" showInputMessage="1" showErrorMessage="1" sqref="D11">
      <formula1>"Si,No"</formula1>
    </dataValidation>
    <dataValidation type="list" allowBlank="1" showInputMessage="1" showErrorMessage="1" sqref="D12">
      <formula1>"Si,No"</formula1>
    </dataValidation>
    <dataValidation type="list" allowBlank="1" showInputMessage="1" showErrorMessage="1" sqref="D13">
      <formula1>"Si,No"</formula1>
    </dataValidation>
    <dataValidation type="list" allowBlank="1" showInputMessage="1" showErrorMessage="1" sqref="D14">
      <formula1>"Si,No"</formula1>
    </dataValidation>
    <dataValidation type="list" allowBlank="1" showInputMessage="1" showErrorMessage="1" sqref="D15">
      <formula1>"Si,No"</formula1>
    </dataValidation>
    <dataValidation type="list" allowBlank="1" showInputMessage="1" showErrorMessage="1" sqref="D16">
      <formula1>"Si,No"</formula1>
    </dataValidation>
    <dataValidation type="list" allowBlank="1" showInputMessage="1" showErrorMessage="1" sqref="D17">
      <formula1>"Si,No"</formula1>
    </dataValidation>
    <dataValidation type="list" allowBlank="1" showInputMessage="1" showErrorMessage="1" sqref="D18">
      <formula1>"Si,No"</formula1>
    </dataValidation>
    <dataValidation type="list" allowBlank="1" showInputMessage="1" showErrorMessage="1" sqref="D19">
      <formula1>"Si,No"</formula1>
    </dataValidation>
    <dataValidation type="list" allowBlank="1" showInputMessage="1" showErrorMessage="1" sqref="D20">
      <formula1>"Si,No"</formula1>
    </dataValidation>
    <dataValidation type="list" allowBlank="1" showInputMessage="1" showErrorMessage="1" sqref="D21">
      <formula1>"Si,No"</formula1>
    </dataValidation>
    <dataValidation type="list" allowBlank="1" showInputMessage="1" showErrorMessage="1" sqref="D22">
      <formula1>"Si,No"</formula1>
    </dataValidation>
    <dataValidation type="list" allowBlank="1" showInputMessage="1" showErrorMessage="1" sqref="D23">
      <formula1>"Si,No"</formula1>
    </dataValidation>
    <dataValidation type="list" allowBlank="1" showInputMessage="1" showErrorMessage="1" sqref="D24">
      <formula1>"Si,No"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0_Inicio</vt:lpstr>
      <vt:lpstr>1_Precios</vt:lpstr>
      <vt:lpstr>2_Retornos</vt:lpstr>
      <vt:lpstr>3_Cov_Correl</vt:lpstr>
      <vt:lpstr>4_Frontera_2A</vt:lpstr>
      <vt:lpstr>5_Cartera</vt:lpstr>
      <vt:lpstr>6_Beta_CAPM</vt:lpstr>
      <vt:lpstr>7_Tecnico</vt:lpstr>
      <vt:lpstr>8_Drawdown</vt:lpstr>
      <vt:lpstr>9_Simulador_CCI</vt:lpstr>
      <vt:lpstr>10_Torneo</vt:lpstr>
      <vt:lpstr>11_Screener</vt:lpstr>
      <vt:lpstr>12_Calendario</vt:lpstr>
      <vt:lpstr>13_Plan_Estudio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2026-10-18T22:28:54Z</dcterms:created>
  <dcterms:modified xsi:type="dcterms:W3CDTF">2026-10-18T22:28:54Z</dcterms:modified>
</cp:coreProperties>
</file>